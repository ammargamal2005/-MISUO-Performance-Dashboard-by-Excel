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5"/>
  <workbookPr codeName="ThisWorkbook" hidePivotFieldList="1"/>
  <mc:AlternateContent xmlns:mc="http://schemas.openxmlformats.org/markup-compatibility/2006">
    <mc:Choice Requires="x15">
      <x15ac:absPath xmlns:x15ac="http://schemas.microsoft.com/office/spreadsheetml/2010/11/ac" url="D:\Ammar\Data Analysis Diploma\"/>
    </mc:Choice>
  </mc:AlternateContent>
  <xr:revisionPtr revIDLastSave="0" documentId="13_ncr:1_{3F90D038-9833-487F-A13E-F8DA9072572A}" xr6:coauthVersionLast="47" xr6:coauthVersionMax="47" xr10:uidLastSave="{00000000-0000-0000-0000-000000000000}"/>
  <bookViews>
    <workbookView xWindow="-108" yWindow="-108" windowWidth="23256" windowHeight="12456" activeTab="2" xr2:uid="{00000000-000D-0000-FFFF-FFFF00000000}"/>
  </bookViews>
  <sheets>
    <sheet name="البيانات" sheetId="1" r:id="rId1"/>
    <sheet name="Pivot table" sheetId="5" r:id="rId2"/>
    <sheet name="sales" sheetId="6" r:id="rId3"/>
    <sheet name="Daily Sales Performance" sheetId="8" r:id="rId4"/>
  </sheets>
  <definedNames>
    <definedName name="_xlnm._FilterDatabase" localSheetId="0" hidden="1">البيانات!$A$1:$U$126</definedName>
    <definedName name="Slicer_الشهر">#N/A</definedName>
    <definedName name="Slicer_المسئول">#N/A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2" i="1"/>
  <c r="P122" i="1"/>
  <c r="P123" i="1"/>
  <c r="P124" i="1"/>
  <c r="P125" i="1"/>
  <c r="P126" i="1"/>
  <c r="B5" i="1"/>
  <c r="B10" i="1"/>
  <c r="B3" i="1"/>
  <c r="B4" i="1"/>
  <c r="B6" i="1"/>
  <c r="B7" i="1"/>
  <c r="B8" i="1"/>
  <c r="B9"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2" i="1"/>
  <c r="B122" i="1"/>
  <c r="B123" i="1"/>
  <c r="B124" i="1"/>
  <c r="B125" i="1"/>
  <c r="B126" i="1"/>
  <c r="B131" i="1" a="1"/>
  <c r="B131" i="1" s="1"/>
  <c r="S3" i="1" a="1"/>
  <c r="S3" i="1" s="1"/>
  <c r="S4" i="1" a="1"/>
  <c r="S4" i="1" s="1"/>
  <c r="S5" i="1" a="1"/>
  <c r="S5" i="1" s="1"/>
  <c r="S6" i="1" a="1"/>
  <c r="S6" i="1" s="1"/>
  <c r="S7" i="1" a="1"/>
  <c r="S7" i="1" s="1"/>
  <c r="S8" i="1" a="1"/>
  <c r="S8" i="1" s="1"/>
  <c r="S9" i="1" a="1"/>
  <c r="S9" i="1" s="1"/>
  <c r="S10" i="1" a="1"/>
  <c r="S10" i="1" s="1"/>
  <c r="S11" i="1" a="1"/>
  <c r="S11" i="1" s="1"/>
  <c r="S12" i="1" a="1"/>
  <c r="S12" i="1" s="1"/>
  <c r="S13" i="1" a="1"/>
  <c r="S13" i="1" s="1"/>
  <c r="S14" i="1" a="1"/>
  <c r="S14" i="1" s="1"/>
  <c r="S15" i="1" a="1"/>
  <c r="S15" i="1" s="1"/>
  <c r="S16" i="1" a="1"/>
  <c r="S16" i="1" s="1"/>
  <c r="S17" i="1" a="1"/>
  <c r="S17" i="1" s="1"/>
  <c r="S18" i="1" a="1"/>
  <c r="S18" i="1" s="1"/>
  <c r="S19" i="1" a="1"/>
  <c r="S19" i="1" s="1"/>
  <c r="S20" i="1" a="1"/>
  <c r="S20" i="1" s="1"/>
  <c r="S21" i="1" a="1"/>
  <c r="S21" i="1" s="1"/>
  <c r="S22" i="1" a="1"/>
  <c r="S22" i="1" s="1"/>
  <c r="S23" i="1" a="1"/>
  <c r="S23" i="1" s="1"/>
  <c r="S24" i="1" a="1"/>
  <c r="S24" i="1" s="1"/>
  <c r="S25" i="1" a="1"/>
  <c r="S25" i="1" s="1"/>
  <c r="S26" i="1" a="1"/>
  <c r="S26" i="1" s="1"/>
  <c r="S27" i="1" a="1"/>
  <c r="S27" i="1" s="1"/>
  <c r="S28" i="1" a="1"/>
  <c r="S28" i="1" s="1"/>
  <c r="S29" i="1" a="1"/>
  <c r="S29" i="1" s="1"/>
  <c r="S30" i="1" a="1"/>
  <c r="S30" i="1" s="1"/>
  <c r="S31" i="1" a="1"/>
  <c r="S31" i="1" s="1"/>
  <c r="S32" i="1" a="1"/>
  <c r="S32" i="1" s="1"/>
  <c r="S33" i="1" a="1"/>
  <c r="S33" i="1" s="1"/>
  <c r="S34" i="1" a="1"/>
  <c r="S34" i="1" s="1"/>
  <c r="S35" i="1" a="1"/>
  <c r="S35" i="1" s="1"/>
  <c r="S36" i="1" a="1"/>
  <c r="S36" i="1" s="1"/>
  <c r="S37" i="1" a="1"/>
  <c r="S37" i="1" s="1"/>
  <c r="S38" i="1" a="1"/>
  <c r="S38" i="1" s="1"/>
  <c r="S39" i="1" a="1"/>
  <c r="S39" i="1" s="1"/>
  <c r="S40" i="1" a="1"/>
  <c r="S40" i="1" s="1"/>
  <c r="S41" i="1" a="1"/>
  <c r="S41" i="1" s="1"/>
  <c r="S42" i="1" a="1"/>
  <c r="S42" i="1" s="1"/>
  <c r="S43" i="1" a="1"/>
  <c r="S43" i="1" s="1"/>
  <c r="S44" i="1" a="1"/>
  <c r="S44" i="1" s="1"/>
  <c r="S45" i="1" a="1"/>
  <c r="S45" i="1" s="1"/>
  <c r="S46" i="1" a="1"/>
  <c r="S46" i="1" s="1"/>
  <c r="S47" i="1" a="1"/>
  <c r="S47" i="1" s="1"/>
  <c r="S48" i="1" a="1"/>
  <c r="S48" i="1" s="1"/>
  <c r="S49" i="1" a="1"/>
  <c r="S49" i="1" s="1"/>
  <c r="S50" i="1" a="1"/>
  <c r="S50" i="1" s="1"/>
  <c r="S51" i="1" a="1"/>
  <c r="S51" i="1" s="1"/>
  <c r="S52" i="1" a="1"/>
  <c r="S52" i="1" s="1"/>
  <c r="S53" i="1" a="1"/>
  <c r="S53" i="1" s="1"/>
  <c r="S54" i="1" a="1"/>
  <c r="S54" i="1" s="1"/>
  <c r="S55" i="1" a="1"/>
  <c r="S55" i="1" s="1"/>
  <c r="S56" i="1" a="1"/>
  <c r="S56" i="1" s="1"/>
  <c r="S57" i="1" a="1"/>
  <c r="S57" i="1" s="1"/>
  <c r="S58" i="1" a="1"/>
  <c r="S58" i="1" s="1"/>
  <c r="S59" i="1" a="1"/>
  <c r="S59" i="1" s="1"/>
  <c r="S60" i="1" a="1"/>
  <c r="S60" i="1" s="1"/>
  <c r="S61" i="1" a="1"/>
  <c r="S61" i="1" s="1"/>
  <c r="S62" i="1" a="1"/>
  <c r="S62" i="1" s="1"/>
  <c r="S63" i="1" a="1"/>
  <c r="S63" i="1" s="1"/>
  <c r="S64" i="1" a="1"/>
  <c r="S64" i="1" s="1"/>
  <c r="S65" i="1" a="1"/>
  <c r="S65" i="1" s="1"/>
  <c r="S66" i="1" a="1"/>
  <c r="S66" i="1" s="1"/>
  <c r="S67" i="1" a="1"/>
  <c r="S67" i="1" s="1"/>
  <c r="S68" i="1" a="1"/>
  <c r="S68" i="1" s="1"/>
  <c r="S69" i="1" a="1"/>
  <c r="S69" i="1" s="1"/>
  <c r="S70" i="1" a="1"/>
  <c r="S70" i="1" s="1"/>
  <c r="S71" i="1" a="1"/>
  <c r="S71" i="1" s="1"/>
  <c r="S72" i="1" a="1"/>
  <c r="S72" i="1" s="1"/>
  <c r="S73" i="1" a="1"/>
  <c r="S73" i="1" s="1"/>
  <c r="S74" i="1" a="1"/>
  <c r="S74" i="1" s="1"/>
  <c r="S75" i="1" a="1"/>
  <c r="S75" i="1" s="1"/>
  <c r="S76" i="1" a="1"/>
  <c r="S76" i="1" s="1"/>
  <c r="S77" i="1" a="1"/>
  <c r="S77" i="1" s="1"/>
  <c r="S78" i="1" a="1"/>
  <c r="S78" i="1" s="1"/>
  <c r="S79" i="1" a="1"/>
  <c r="S79" i="1" s="1"/>
  <c r="S80" i="1" a="1"/>
  <c r="S80" i="1" s="1"/>
  <c r="S81" i="1" a="1"/>
  <c r="S81" i="1" s="1"/>
  <c r="S82" i="1" a="1"/>
  <c r="S82" i="1" s="1"/>
  <c r="S83" i="1" a="1"/>
  <c r="S83" i="1" s="1"/>
  <c r="S84" i="1" a="1"/>
  <c r="S84" i="1" s="1"/>
  <c r="S85" i="1" a="1"/>
  <c r="S85" i="1" s="1"/>
  <c r="S86" i="1" a="1"/>
  <c r="S86" i="1" s="1"/>
  <c r="S87" i="1" a="1"/>
  <c r="S87" i="1" s="1"/>
  <c r="S88" i="1" a="1"/>
  <c r="S88" i="1" s="1"/>
  <c r="S89" i="1" a="1"/>
  <c r="S89" i="1" s="1"/>
  <c r="S90" i="1" a="1"/>
  <c r="S90" i="1" s="1"/>
  <c r="S91" i="1" a="1"/>
  <c r="S91" i="1" s="1"/>
  <c r="S92" i="1" a="1"/>
  <c r="S92" i="1" s="1"/>
  <c r="S93" i="1" a="1"/>
  <c r="S93" i="1" s="1"/>
  <c r="S94" i="1" a="1"/>
  <c r="S94" i="1" s="1"/>
  <c r="S95" i="1" a="1"/>
  <c r="S95" i="1" s="1"/>
  <c r="S96" i="1" a="1"/>
  <c r="S96" i="1" s="1"/>
  <c r="S97" i="1" a="1"/>
  <c r="S97" i="1" s="1"/>
  <c r="S98" i="1" a="1"/>
  <c r="S98" i="1" s="1"/>
  <c r="S99" i="1" a="1"/>
  <c r="S99" i="1" s="1"/>
  <c r="S100" i="1" a="1"/>
  <c r="S100" i="1" s="1"/>
  <c r="S101" i="1" a="1"/>
  <c r="S101" i="1" s="1"/>
  <c r="S102" i="1" a="1"/>
  <c r="S102" i="1" s="1"/>
  <c r="S103" i="1" a="1"/>
  <c r="S103" i="1" s="1"/>
  <c r="S104" i="1" a="1"/>
  <c r="S104" i="1" s="1"/>
  <c r="S105" i="1" a="1"/>
  <c r="S105" i="1" s="1"/>
  <c r="S106" i="1" a="1"/>
  <c r="S106" i="1" s="1"/>
  <c r="S107" i="1" a="1"/>
  <c r="S107" i="1" s="1"/>
  <c r="S108" i="1" a="1"/>
  <c r="S108" i="1" s="1"/>
  <c r="S109" i="1" a="1"/>
  <c r="S109" i="1" s="1"/>
  <c r="S110" i="1" a="1"/>
  <c r="S110" i="1" s="1"/>
  <c r="S111" i="1" a="1"/>
  <c r="S111" i="1" s="1"/>
  <c r="S112" i="1" a="1"/>
  <c r="S112" i="1" s="1"/>
  <c r="S113" i="1" a="1"/>
  <c r="S113" i="1" s="1"/>
  <c r="S114" i="1" a="1"/>
  <c r="S114" i="1" s="1"/>
  <c r="S115" i="1" a="1"/>
  <c r="S115" i="1" s="1"/>
  <c r="S116" i="1" a="1"/>
  <c r="S116" i="1" s="1"/>
  <c r="S117" i="1" a="1"/>
  <c r="S117" i="1" s="1"/>
  <c r="S118" i="1" a="1"/>
  <c r="S118" i="1" s="1"/>
  <c r="S119" i="1" a="1"/>
  <c r="S119" i="1" s="1"/>
  <c r="S120" i="1" a="1"/>
  <c r="S120" i="1" s="1"/>
  <c r="S121" i="1" a="1"/>
  <c r="S121" i="1" s="1"/>
  <c r="S2" i="1" a="1"/>
  <c r="S2" i="1" s="1"/>
  <c r="S122" i="1" a="1"/>
  <c r="S122" i="1" s="1"/>
  <c r="S123" i="1" a="1"/>
  <c r="S123" i="1" s="1"/>
  <c r="S124" i="1" a="1"/>
  <c r="S124" i="1" s="1"/>
  <c r="S125" i="1" a="1"/>
  <c r="S125" i="1" s="1"/>
  <c r="S126" i="1" a="1"/>
  <c r="S126" i="1" s="1"/>
  <c r="AC5" i="5"/>
  <c r="AC20" i="5"/>
  <c r="AN5" i="5"/>
  <c r="AG5" i="5"/>
  <c r="AW12" i="5"/>
  <c r="M3" i="5"/>
  <c r="D3" i="5"/>
  <c r="AW11" i="5"/>
  <c r="H3"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<sst xmlns="http://schemas.openxmlformats.org/spreadsheetml/2006/main" count="1792" uniqueCount="311">
  <si>
    <t>أسم العميل</t>
  </si>
  <si>
    <t>العنوان</t>
  </si>
  <si>
    <t>تاريخ التسليم</t>
  </si>
  <si>
    <t>المسئول عن التسليم</t>
  </si>
  <si>
    <t xml:space="preserve">منصة البيع </t>
  </si>
  <si>
    <t>هومزمارت</t>
  </si>
  <si>
    <t xml:space="preserve">سعر البيع </t>
  </si>
  <si>
    <t xml:space="preserve">طريقه الدفع </t>
  </si>
  <si>
    <t>ميعاد التسليم</t>
  </si>
  <si>
    <t>ميعاد الطلب</t>
  </si>
  <si>
    <t xml:space="preserve">خالد عبد القوى </t>
  </si>
  <si>
    <t xml:space="preserve">سرير منطبق الحديد ابيض والقماش ابيض </t>
  </si>
  <si>
    <t>مسبق الدفع</t>
  </si>
  <si>
    <t>محمود</t>
  </si>
  <si>
    <t xml:space="preserve">سرير منطبق اسود والقماش اسود </t>
  </si>
  <si>
    <t>سعيد</t>
  </si>
  <si>
    <t xml:space="preserve">سرير كيفينج مقاس 90 لون ازرق </t>
  </si>
  <si>
    <t>ساندرا</t>
  </si>
  <si>
    <t xml:space="preserve">الغردقه </t>
  </si>
  <si>
    <t xml:space="preserve">ترابيزه قهوه متحركه </t>
  </si>
  <si>
    <t xml:space="preserve">زينا </t>
  </si>
  <si>
    <t xml:space="preserve">سرير نوفال متر رمادى </t>
  </si>
  <si>
    <t xml:space="preserve">شيك هومز </t>
  </si>
  <si>
    <t xml:space="preserve">كنبه سرير رمادى </t>
  </si>
  <si>
    <t xml:space="preserve">احمد </t>
  </si>
  <si>
    <t>التجمع الخامس</t>
  </si>
  <si>
    <t>فيس بوك</t>
  </si>
  <si>
    <t xml:space="preserve">فشل التسليم </t>
  </si>
  <si>
    <t>yilmaz</t>
  </si>
  <si>
    <t xml:space="preserve">سرير فردى ابيض </t>
  </si>
  <si>
    <t xml:space="preserve">تاكى </t>
  </si>
  <si>
    <t>العباسيه</t>
  </si>
  <si>
    <t>تاكى</t>
  </si>
  <si>
    <t xml:space="preserve">ركنه </t>
  </si>
  <si>
    <t>٢ كنبه سحاره بمخدع</t>
  </si>
  <si>
    <t xml:space="preserve">العباسيه </t>
  </si>
  <si>
    <t xml:space="preserve">٢ كنبه سحاره بدون مخدع </t>
  </si>
  <si>
    <t xml:space="preserve">على رشوان </t>
  </si>
  <si>
    <t>مصر الجديده</t>
  </si>
  <si>
    <t>سرير نوفال ابيض مقاس ٨٠</t>
  </si>
  <si>
    <t xml:space="preserve">سرير كينج ابيض </t>
  </si>
  <si>
    <t xml:space="preserve">سرير كينج اسود </t>
  </si>
  <si>
    <t xml:space="preserve">فيصل نعيم </t>
  </si>
  <si>
    <t xml:space="preserve">التجمع الخامس </t>
  </si>
  <si>
    <t xml:space="preserve">اوسكار ريتن </t>
  </si>
  <si>
    <t xml:space="preserve">٢ سرير كيفنج ١٢٠ اسود </t>
  </si>
  <si>
    <t>ellho elkafy</t>
  </si>
  <si>
    <t xml:space="preserve">مدينه نصر </t>
  </si>
  <si>
    <t xml:space="preserve">سرير كينج ابيض مقاس ٨٠ التصميم الجديد </t>
  </si>
  <si>
    <t xml:space="preserve">لينا </t>
  </si>
  <si>
    <t xml:space="preserve">المقطم </t>
  </si>
  <si>
    <t xml:space="preserve">ترابيزه قهوه علويه جديده </t>
  </si>
  <si>
    <t xml:space="preserve">٢ فوتيه فنيسيا </t>
  </si>
  <si>
    <t xml:space="preserve">احمد فخرى </t>
  </si>
  <si>
    <t>سرير فردى خشب موسكى الحديد ابيض مقاس ٨٠</t>
  </si>
  <si>
    <t>القاهره الجديده</t>
  </si>
  <si>
    <t>٤سرير فردى خشب موسكى الحديد ابيض مقاس ٨٠</t>
  </si>
  <si>
    <t>حسن حازم</t>
  </si>
  <si>
    <t>سرير اسبانى ابيض ١٢٠</t>
  </si>
  <si>
    <t xml:space="preserve">رنا </t>
  </si>
  <si>
    <t xml:space="preserve">القطاميه </t>
  </si>
  <si>
    <t xml:space="preserve">على السيد </t>
  </si>
  <si>
    <t xml:space="preserve">هشام بسيونى </t>
  </si>
  <si>
    <t xml:space="preserve">حدايق الاهرام </t>
  </si>
  <si>
    <t xml:space="preserve">سرير نوفال  ٩٠ اسود </t>
  </si>
  <si>
    <t xml:space="preserve">            ٢ سرير كيفنج ١٠٠ اسود </t>
  </si>
  <si>
    <t>عبير نور الدين</t>
  </si>
  <si>
    <t xml:space="preserve">سرير ٣ ادورا اسود مقاس ١٠٠ </t>
  </si>
  <si>
    <t>اوسكار راتن</t>
  </si>
  <si>
    <t xml:space="preserve">مخزن اوسكار في القناطر </t>
  </si>
  <si>
    <t>حساب شركه</t>
  </si>
  <si>
    <t xml:space="preserve">٢ سرير ارفيل ١٢٠ اسود </t>
  </si>
  <si>
    <t>٢ سريرفورجينا خشب موسكى ابيض مقاس ١٢٠</t>
  </si>
  <si>
    <t>الشروق</t>
  </si>
  <si>
    <t xml:space="preserve">ساره وجيه </t>
  </si>
  <si>
    <t xml:space="preserve">سرير كيفنج دورين مقاس ٨٠ ابيض </t>
  </si>
  <si>
    <t xml:space="preserve">سرير ٣ ادوار ابيض مقاس ٨٠ ابيض </t>
  </si>
  <si>
    <t xml:space="preserve">مها </t>
  </si>
  <si>
    <t xml:space="preserve">لافيستا العين السخنه </t>
  </si>
  <si>
    <t>سرير استيل ازرق مقاس ١٤٠</t>
  </si>
  <si>
    <t xml:space="preserve">اسراء ابو العنين </t>
  </si>
  <si>
    <t>سرير اسبانى اسود مقاس ١٢٠</t>
  </si>
  <si>
    <t xml:space="preserve">بسام الشربينى </t>
  </si>
  <si>
    <t xml:space="preserve">سرير كينج ١٢٠ بنفسجى </t>
  </si>
  <si>
    <t>وائل صادق</t>
  </si>
  <si>
    <t xml:space="preserve">سرير كوين مقاس ١٤٠ دهبي ورمادى </t>
  </si>
  <si>
    <t xml:space="preserve">هبه عبد الفتاح </t>
  </si>
  <si>
    <t xml:space="preserve">القاهره الجديده </t>
  </si>
  <si>
    <t xml:space="preserve">كنبه سرير ٤ حركه </t>
  </si>
  <si>
    <t xml:space="preserve">حاتم العيسوي </t>
  </si>
  <si>
    <t>سرير منطبق اسود حديد وقماش</t>
  </si>
  <si>
    <t>صفاء</t>
  </si>
  <si>
    <t xml:space="preserve">اسراء ابراهيم </t>
  </si>
  <si>
    <t xml:space="preserve">طارق كمال </t>
  </si>
  <si>
    <t xml:space="preserve">سرير ٣ ادوار اسود مقاس ٩٠ </t>
  </si>
  <si>
    <t xml:space="preserve">مصطفي غنيم </t>
  </si>
  <si>
    <t xml:space="preserve">اسيوط </t>
  </si>
  <si>
    <t xml:space="preserve">سرير كيفنج دورين مقاس ١٢٠ رمادى </t>
  </si>
  <si>
    <t xml:space="preserve">مسبق الدفع </t>
  </si>
  <si>
    <t>حسام عبدون</t>
  </si>
  <si>
    <t>الغردقه</t>
  </si>
  <si>
    <t xml:space="preserve">اياد </t>
  </si>
  <si>
    <t>ميار خورشد</t>
  </si>
  <si>
    <t xml:space="preserve">سرير منطبق اسود حديد ومعدن </t>
  </si>
  <si>
    <t xml:space="preserve">عبد الله سيد </t>
  </si>
  <si>
    <t xml:space="preserve">سرير اسبانى  ١٤٠ اسود وبيج </t>
  </si>
  <si>
    <t xml:space="preserve">كينج سونا </t>
  </si>
  <si>
    <t xml:space="preserve">تربيزه قهوه مرتفعه برف سحاب </t>
  </si>
  <si>
    <t xml:space="preserve">رامى </t>
  </si>
  <si>
    <t xml:space="preserve">سرير نوفال ١٠٠ رمادى </t>
  </si>
  <si>
    <t xml:space="preserve">احمد خالد </t>
  </si>
  <si>
    <t>الرحاب</t>
  </si>
  <si>
    <t xml:space="preserve"> ٢. سرير فورجينا ابيض مقاس ١٢٠</t>
  </si>
  <si>
    <t>ساره</t>
  </si>
  <si>
    <t xml:space="preserve">   ٢. سرير اسبانى ابيض ١٢٠</t>
  </si>
  <si>
    <t>رحاب</t>
  </si>
  <si>
    <t xml:space="preserve">احمد ايمن </t>
  </si>
  <si>
    <t>العبور</t>
  </si>
  <si>
    <t xml:space="preserve">فؤاد المنسي </t>
  </si>
  <si>
    <t xml:space="preserve">سرير نوفال مقاس ٨٠ ابيض </t>
  </si>
  <si>
    <t xml:space="preserve">ديفد بهجت </t>
  </si>
  <si>
    <t>تربيزه قهوه ٢ رافع</t>
  </si>
  <si>
    <t xml:space="preserve">حسن مغرب </t>
  </si>
  <si>
    <t xml:space="preserve">سرير كيفنج ١٢٠ رمادى </t>
  </si>
  <si>
    <t>صفاء الحكيم</t>
  </si>
  <si>
    <t>العين السخنه</t>
  </si>
  <si>
    <t>سرير منطببق اسود وقماش اسود</t>
  </si>
  <si>
    <t>يوسف شناوى</t>
  </si>
  <si>
    <t xml:space="preserve">ترابيزه قهوه علويه برف سحاب </t>
  </si>
  <si>
    <t>سرير</t>
  </si>
  <si>
    <t>منطبق</t>
  </si>
  <si>
    <t>نوفال</t>
  </si>
  <si>
    <t>فردى</t>
  </si>
  <si>
    <t>كينج</t>
  </si>
  <si>
    <t>كيفنج</t>
  </si>
  <si>
    <t>اسبانى</t>
  </si>
  <si>
    <t>ركنة</t>
  </si>
  <si>
    <t>سحارة</t>
  </si>
  <si>
    <t>ركنة بسرير</t>
  </si>
  <si>
    <t>كرسى</t>
  </si>
  <si>
    <t>4*1</t>
  </si>
  <si>
    <t>دورين</t>
  </si>
  <si>
    <t xml:space="preserve">كنبة </t>
  </si>
  <si>
    <t>ابيض</t>
  </si>
  <si>
    <t>اسود</t>
  </si>
  <si>
    <t>ارفيل</t>
  </si>
  <si>
    <t>ازرق</t>
  </si>
  <si>
    <t>ثلاثه ادوار</t>
  </si>
  <si>
    <t>رمادى</t>
  </si>
  <si>
    <t>بنفسجى</t>
  </si>
  <si>
    <t>المقاس</t>
  </si>
  <si>
    <t>دهبي</t>
  </si>
  <si>
    <t>فورجينا</t>
  </si>
  <si>
    <t>كورين</t>
  </si>
  <si>
    <t>اللون المعدن</t>
  </si>
  <si>
    <t>لون القماش</t>
  </si>
  <si>
    <t>mohannad</t>
  </si>
  <si>
    <t>Mohamed Ayman</t>
  </si>
  <si>
    <t>2 ميكانزم</t>
  </si>
  <si>
    <t>بمكتبة</t>
  </si>
  <si>
    <t>رف سحاب</t>
  </si>
  <si>
    <t>الحالة</t>
  </si>
  <si>
    <t>فشل التسليم</t>
  </si>
  <si>
    <t>اسامه</t>
  </si>
  <si>
    <t>تم التسليم</t>
  </si>
  <si>
    <t xml:space="preserve">المخزن ابو الغيط </t>
  </si>
  <si>
    <t>اسود وبنى</t>
  </si>
  <si>
    <t>ولاء بدوى</t>
  </si>
  <si>
    <t>عبد الرحمن يسري</t>
  </si>
  <si>
    <t>الحج محمد السويس</t>
  </si>
  <si>
    <t xml:space="preserve">السويس </t>
  </si>
  <si>
    <t>السويس</t>
  </si>
  <si>
    <t>فانتاستك</t>
  </si>
  <si>
    <t>ملون</t>
  </si>
  <si>
    <t>فنيسيا</t>
  </si>
  <si>
    <t>رصاصي مشجر</t>
  </si>
  <si>
    <t>بيج</t>
  </si>
  <si>
    <t>شيزلونج</t>
  </si>
  <si>
    <t xml:space="preserve">نبيتى </t>
  </si>
  <si>
    <t>عمرو الأسود</t>
  </si>
  <si>
    <t>الزمالك</t>
  </si>
  <si>
    <t>مخزن شيك هومز</t>
  </si>
  <si>
    <t xml:space="preserve">بترولى </t>
  </si>
  <si>
    <t>keira</t>
  </si>
  <si>
    <t xml:space="preserve">نوفال </t>
  </si>
  <si>
    <t>بينك</t>
  </si>
  <si>
    <t>tarek</t>
  </si>
  <si>
    <t>reem</t>
  </si>
  <si>
    <t>هشام سامى</t>
  </si>
  <si>
    <t xml:space="preserve">منزلى </t>
  </si>
  <si>
    <t>بلحه</t>
  </si>
  <si>
    <t>خشب بنى فاتح</t>
  </si>
  <si>
    <t>فانتستيك</t>
  </si>
  <si>
    <t>الوان</t>
  </si>
  <si>
    <t>المعرض مدينه نصر</t>
  </si>
  <si>
    <t>فاطمه محمد</t>
  </si>
  <si>
    <t>بولا هومزمارت</t>
  </si>
  <si>
    <t xml:space="preserve">محمد شكرى </t>
  </si>
  <si>
    <t>ارينا</t>
  </si>
  <si>
    <t>بترولى</t>
  </si>
  <si>
    <t>مسبق</t>
  </si>
  <si>
    <t>منزلى</t>
  </si>
  <si>
    <t>مدينتى</t>
  </si>
  <si>
    <t>حماده</t>
  </si>
  <si>
    <t>صفاء عبد الباقي</t>
  </si>
  <si>
    <t xml:space="preserve">كينج </t>
  </si>
  <si>
    <t xml:space="preserve">دورين </t>
  </si>
  <si>
    <t xml:space="preserve">رندا العامرى </t>
  </si>
  <si>
    <t xml:space="preserve">كيمت </t>
  </si>
  <si>
    <t xml:space="preserve">كيفنج </t>
  </si>
  <si>
    <t xml:space="preserve">فردى </t>
  </si>
  <si>
    <t>امريكى</t>
  </si>
  <si>
    <t>محمد حمدى</t>
  </si>
  <si>
    <t xml:space="preserve">كوين </t>
  </si>
  <si>
    <t xml:space="preserve">بافلى هانى </t>
  </si>
  <si>
    <t xml:space="preserve">شبرا </t>
  </si>
  <si>
    <t xml:space="preserve">اسبانى </t>
  </si>
  <si>
    <t>t1</t>
  </si>
  <si>
    <t>رنا ميلاد</t>
  </si>
  <si>
    <t>ترابيزه</t>
  </si>
  <si>
    <t>مكتبه</t>
  </si>
  <si>
    <t>محمد ناجى</t>
  </si>
  <si>
    <t>ميكانزم</t>
  </si>
  <si>
    <t>ابيض في بنى غامق</t>
  </si>
  <si>
    <t>احمد عبد الستار</t>
  </si>
  <si>
    <t xml:space="preserve">نور </t>
  </si>
  <si>
    <t>بنى غامق</t>
  </si>
  <si>
    <t xml:space="preserve">بنى غامق </t>
  </si>
  <si>
    <t>تامر</t>
  </si>
  <si>
    <t xml:space="preserve">بيج </t>
  </si>
  <si>
    <t>هناء اسامه</t>
  </si>
  <si>
    <t>القطاميه</t>
  </si>
  <si>
    <t xml:space="preserve">محمد عادل </t>
  </si>
  <si>
    <t>مريم عنان</t>
  </si>
  <si>
    <t xml:space="preserve">هبه عطيه </t>
  </si>
  <si>
    <t>حمدى ذكرى</t>
  </si>
  <si>
    <t>روك ١٠</t>
  </si>
  <si>
    <t>العميل رفض الاستلام</t>
  </si>
  <si>
    <t xml:space="preserve"> 2 ميكانزم</t>
  </si>
  <si>
    <t>100/140</t>
  </si>
  <si>
    <t>المعادي</t>
  </si>
  <si>
    <t>مدينة بدر</t>
  </si>
  <si>
    <t xml:space="preserve">نوع المنتج </t>
  </si>
  <si>
    <t>الشكل</t>
  </si>
  <si>
    <t>الماركة</t>
  </si>
  <si>
    <t>اسم المنتج بالكامل</t>
  </si>
  <si>
    <t>غير محدد</t>
  </si>
  <si>
    <t xml:space="preserve">العجوزه </t>
  </si>
  <si>
    <t xml:space="preserve"> الجيزه</t>
  </si>
  <si>
    <t xml:space="preserve">سموحه </t>
  </si>
  <si>
    <t xml:space="preserve"> اسكندريه</t>
  </si>
  <si>
    <t xml:space="preserve">سيدى عبد الرحمن </t>
  </si>
  <si>
    <t xml:space="preserve"> الساحل الشمالى </t>
  </si>
  <si>
    <t>القاهره</t>
  </si>
  <si>
    <t>القليوبية</t>
  </si>
  <si>
    <t xml:space="preserve">الابراهيميه </t>
  </si>
  <si>
    <t xml:space="preserve">٦ اكتوبر  </t>
  </si>
  <si>
    <t>الجيزه</t>
  </si>
  <si>
    <t>محافظة</t>
  </si>
  <si>
    <t xml:space="preserve">الشيخ زايد </t>
  </si>
  <si>
    <t>البطاش</t>
  </si>
  <si>
    <t>اسكندريه</t>
  </si>
  <si>
    <t xml:space="preserve">الشروق  </t>
  </si>
  <si>
    <t>البحر الاحمر</t>
  </si>
  <si>
    <t xml:space="preserve">بولاق </t>
  </si>
  <si>
    <t xml:space="preserve">المندره </t>
  </si>
  <si>
    <t>فيصل</t>
  </si>
  <si>
    <t>-</t>
  </si>
  <si>
    <t xml:space="preserve"> شركه شحن </t>
  </si>
  <si>
    <t>جليم</t>
  </si>
  <si>
    <t>اسيوط</t>
  </si>
  <si>
    <t>total sales</t>
  </si>
  <si>
    <t xml:space="preserve">Sum of سعر البيع </t>
  </si>
  <si>
    <t>Row Labels</t>
  </si>
  <si>
    <t>Grand Total</t>
  </si>
  <si>
    <t>total orders</t>
  </si>
  <si>
    <t>Average Selling Price</t>
  </si>
  <si>
    <t xml:space="preserve">Average of سعر البيع </t>
  </si>
  <si>
    <t>Sales by Platform</t>
  </si>
  <si>
    <t xml:space="preserve">Best  Seller </t>
  </si>
  <si>
    <t xml:space="preserve">Count of نوع المنتج </t>
  </si>
  <si>
    <t>count of consumer and corparat</t>
  </si>
  <si>
    <t>Best Color sold</t>
  </si>
  <si>
    <t>Count of اللون المعدن</t>
  </si>
  <si>
    <t>Orders by Area</t>
  </si>
  <si>
    <t>Count of العنوان</t>
  </si>
  <si>
    <t>On-time Delivery Rate</t>
  </si>
  <si>
    <t>استلام ف الموعد</t>
  </si>
  <si>
    <t>في الموعد</t>
  </si>
  <si>
    <t>متأخر</t>
  </si>
  <si>
    <t>Count of استلام ف الموعد</t>
  </si>
  <si>
    <t>Count of الحالة</t>
  </si>
  <si>
    <t xml:space="preserve">نوع العميل </t>
  </si>
  <si>
    <t>شيك هومز</t>
  </si>
  <si>
    <t>salesh by class</t>
  </si>
  <si>
    <t>افراد</t>
  </si>
  <si>
    <t>شركة</t>
  </si>
  <si>
    <t>sales by date</t>
  </si>
  <si>
    <t xml:space="preserve">سمؤول التسليم </t>
  </si>
  <si>
    <t>الشهر</t>
  </si>
  <si>
    <t>محمود على</t>
  </si>
  <si>
    <t>شركه شحن</t>
  </si>
  <si>
    <t>الحج سيد</t>
  </si>
  <si>
    <t>م محمد</t>
  </si>
  <si>
    <t>المسئول</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</si>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</sst>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7" x14ac:knownFonts="1">
    <font>
      <sz val="11"/>
      <color theme="1"/>
      <name val="Calibri"/>
      <family val="2"/>
      <scheme val="minor"/>
    </font>
    <font>
      <b/>
      <sz val="12"/>
      <color theme="1"/>
      <name val="Calibri"/>
      <family val="2"/>
      <scheme val="minor"/>
    </font>
    <font>
      <b/>
      <sz val="12"/>
      <name val="Calibri"/>
      <family val="2"/>
      <scheme val="minor"/>
    </font>
    <font>
      <b/>
      <sz val="12"/>
      <color rgb="FF898989"/>
      <name val="Arial"/>
      <family val="2"/>
    </font>
    <font>
      <sz val="11"/>
      <color theme="1"/>
      <name val="Calibri"/>
      <family val="2"/>
      <scheme val="minor"/>
    </font>
    <font>
      <b/>
      <sz val="12"/>
      <color theme="3" tint="-0.499984740745262"/>
      <name val="Calibri"/>
      <family val="2"/>
      <scheme val="minor"/>
    </font>
    <font>
      <sz val="28"/>
      <color rgb="FF800000"/>
      <name val="Calibri"/>
      <family val="2"/>
    </font>
  </fonts>
  <fills count="8">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rgb="FF182540"/>
        <bgColor indexed="64"/>
      </patternFill>
    </fill>
    <fill>
      <patternFill patternType="solid">
        <fgColor rgb="FFFFFF00"/>
        <bgColor indexed="64"/>
      </patternFill>
    </fill>
    <fill>
      <patternFill patternType="solid">
        <fgColor rgb="FFFFC000"/>
        <bgColor indexed="64"/>
      </patternFill>
    </fill>
    <fill>
      <patternFill patternType="solid">
        <fgColor theme="8"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43" fontId="4" fillId="0" borderId="0" applyFont="0" applyFill="0" applyBorder="0" applyAlignment="0" applyProtection="0"/>
  </cellStyleXfs>
  <cellXfs count="59">
    <xf numFmtId="0" fontId="0" fillId="0" borderId="0" xfId="0"/>
    <xf numFmtId="0" fontId="1" fillId="0" borderId="0" xfId="0" applyFont="1"/>
    <xf numFmtId="0" fontId="1" fillId="0" borderId="1" xfId="0" applyFont="1" applyBorder="1" applyAlignment="1">
      <alignment horizontal="center" vertical="center"/>
    </xf>
    <xf numFmtId="0" fontId="1" fillId="0" borderId="0" xfId="0" applyFont="1" applyAlignment="1">
      <alignment horizontal="right" vertical="center"/>
    </xf>
    <xf numFmtId="0" fontId="1" fillId="3" borderId="3" xfId="0" applyFont="1" applyFill="1" applyBorder="1" applyAlignment="1">
      <alignment horizontal="center" vertical="center"/>
    </xf>
    <xf numFmtId="1" fontId="1" fillId="3" borderId="3" xfId="0" applyNumberFormat="1" applyFont="1" applyFill="1" applyBorder="1" applyAlignment="1">
      <alignment horizontal="center" vertical="center"/>
    </xf>
    <xf numFmtId="0" fontId="1" fillId="3" borderId="1" xfId="0" applyFont="1" applyFill="1" applyBorder="1" applyAlignment="1">
      <alignment horizontal="center" vertical="center"/>
    </xf>
    <xf numFmtId="2" fontId="1" fillId="3" borderId="3" xfId="0" applyNumberFormat="1" applyFont="1" applyFill="1" applyBorder="1" applyAlignment="1">
      <alignment horizontal="center" vertical="center"/>
    </xf>
    <xf numFmtId="14" fontId="1" fillId="3" borderId="3" xfId="0" applyNumberFormat="1" applyFont="1" applyFill="1" applyBorder="1" applyAlignment="1">
      <alignment horizontal="center" vertical="center"/>
    </xf>
    <xf numFmtId="1" fontId="1" fillId="3" borderId="1" xfId="0" applyNumberFormat="1" applyFont="1" applyFill="1" applyBorder="1" applyAlignment="1">
      <alignment horizontal="center" vertical="center"/>
    </xf>
    <xf numFmtId="2" fontId="1" fillId="3" borderId="1" xfId="0" applyNumberFormat="1" applyFont="1" applyFill="1" applyBorder="1" applyAlignment="1">
      <alignment horizontal="center" vertical="center"/>
    </xf>
    <xf numFmtId="14" fontId="1" fillId="3" borderId="1" xfId="0" applyNumberFormat="1" applyFont="1" applyFill="1" applyBorder="1" applyAlignment="1">
      <alignment horizontal="center" vertical="center"/>
    </xf>
    <xf numFmtId="0" fontId="1" fillId="3" borderId="2" xfId="0" applyFont="1" applyFill="1" applyBorder="1" applyAlignment="1">
      <alignment horizontal="center" vertical="center"/>
    </xf>
    <xf numFmtId="0" fontId="2" fillId="3" borderId="1" xfId="0" applyFont="1" applyFill="1" applyBorder="1" applyAlignment="1">
      <alignment horizontal="center" vertical="center"/>
    </xf>
    <xf numFmtId="1" fontId="2" fillId="3" borderId="1" xfId="0" applyNumberFormat="1" applyFont="1" applyFill="1" applyBorder="1" applyAlignment="1">
      <alignment horizontal="center" vertical="center"/>
    </xf>
    <xf numFmtId="2" fontId="2" fillId="3" borderId="1" xfId="0" applyNumberFormat="1" applyFont="1" applyFill="1" applyBorder="1" applyAlignment="1">
      <alignment horizontal="center" vertical="center"/>
    </xf>
    <xf numFmtId="14" fontId="2" fillId="3" borderId="1" xfId="0" applyNumberFormat="1" applyFont="1" applyFill="1" applyBorder="1" applyAlignment="1">
      <alignment horizontal="center" vertical="center"/>
    </xf>
    <xf numFmtId="0" fontId="2" fillId="3" borderId="2" xfId="0" applyFont="1" applyFill="1" applyBorder="1" applyAlignment="1">
      <alignment horizontal="center" vertical="center"/>
    </xf>
    <xf numFmtId="0" fontId="3" fillId="3" borderId="1" xfId="0" applyFont="1" applyFill="1" applyBorder="1" applyAlignment="1">
      <alignment horizontal="center" vertical="center"/>
    </xf>
    <xf numFmtId="0" fontId="1" fillId="3" borderId="1" xfId="0" applyNumberFormat="1" applyFont="1" applyFill="1" applyBorder="1" applyAlignment="1">
      <alignment horizontal="center" vertical="center"/>
    </xf>
    <xf numFmtId="0" fontId="1" fillId="0" borderId="1" xfId="0" applyFont="1" applyBorder="1" applyAlignment="1">
      <alignment horizontal="right" vertical="center"/>
    </xf>
    <xf numFmtId="1" fontId="1" fillId="0" borderId="1" xfId="0" applyNumberFormat="1" applyFont="1" applyBorder="1" applyAlignment="1">
      <alignment horizontal="right" vertical="center"/>
    </xf>
    <xf numFmtId="2" fontId="1" fillId="0" borderId="1" xfId="0" applyNumberFormat="1" applyFont="1" applyBorder="1" applyAlignment="1">
      <alignment horizontal="right" vertical="center"/>
    </xf>
    <xf numFmtId="14" fontId="1" fillId="0" borderId="1" xfId="0" applyNumberFormat="1" applyFont="1" applyBorder="1" applyAlignment="1">
      <alignment horizontal="right" vertical="center"/>
    </xf>
    <xf numFmtId="0" fontId="1" fillId="0" borderId="0" xfId="0" applyFont="1" applyAlignment="1">
      <alignment horizontal="center" vertical="center"/>
    </xf>
    <xf numFmtId="1" fontId="1" fillId="0" borderId="0" xfId="0" applyNumberFormat="1" applyFont="1" applyAlignment="1">
      <alignment horizontal="right" vertical="center"/>
    </xf>
    <xf numFmtId="2" fontId="1" fillId="0" borderId="0" xfId="0" applyNumberFormat="1" applyFont="1" applyAlignment="1">
      <alignment horizontal="right" vertical="center"/>
    </xf>
    <xf numFmtId="14" fontId="1" fillId="0" borderId="0" xfId="0" applyNumberFormat="1" applyFont="1" applyAlignment="1">
      <alignment horizontal="right" vertical="center"/>
    </xf>
    <xf numFmtId="0" fontId="0" fillId="4" borderId="0" xfId="0" applyFill="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5" borderId="0" xfId="0" applyFill="1"/>
    <xf numFmtId="0" fontId="0" fillId="0" borderId="0" xfId="0" applyAlignment="1">
      <alignment horizontal="left" indent="1"/>
    </xf>
    <xf numFmtId="164" fontId="0" fillId="0" borderId="0" xfId="1" applyNumberFormat="1" applyFont="1"/>
    <xf numFmtId="0" fontId="0" fillId="6" borderId="0" xfId="0" applyFill="1"/>
    <xf numFmtId="0" fontId="2" fillId="3" borderId="3" xfId="0" applyFont="1" applyFill="1" applyBorder="1" applyAlignment="1">
      <alignment horizontal="center" vertical="center"/>
    </xf>
    <xf numFmtId="1" fontId="2" fillId="3" borderId="3" xfId="0" applyNumberFormat="1" applyFont="1" applyFill="1" applyBorder="1" applyAlignment="1">
      <alignment horizontal="center" vertical="center"/>
    </xf>
    <xf numFmtId="0" fontId="1" fillId="3" borderId="3" xfId="0" applyNumberFormat="1" applyFont="1" applyFill="1" applyBorder="1" applyAlignment="1">
      <alignment horizontal="center" vertical="center"/>
    </xf>
    <xf numFmtId="1" fontId="1" fillId="3" borderId="0" xfId="0" applyNumberFormat="1" applyFont="1" applyFill="1" applyBorder="1" applyAlignment="1">
      <alignment horizontal="center" vertical="center"/>
    </xf>
    <xf numFmtId="0" fontId="5" fillId="2" borderId="4" xfId="0" applyFont="1" applyFill="1" applyBorder="1" applyAlignment="1">
      <alignment horizontal="center" vertical="center"/>
    </xf>
    <xf numFmtId="0" fontId="5" fillId="2" borderId="3" xfId="0" applyFont="1" applyFill="1" applyBorder="1" applyAlignment="1">
      <alignment horizontal="center" vertical="center"/>
    </xf>
    <xf numFmtId="1" fontId="5" fillId="2" borderId="3" xfId="0" applyNumberFormat="1" applyFont="1" applyFill="1" applyBorder="1" applyAlignment="1">
      <alignment horizontal="center" vertical="center"/>
    </xf>
    <xf numFmtId="2" fontId="5" fillId="2" borderId="3" xfId="0" applyNumberFormat="1" applyFont="1" applyFill="1" applyBorder="1" applyAlignment="1">
      <alignment horizontal="center" vertical="center"/>
    </xf>
    <xf numFmtId="14" fontId="5" fillId="2" borderId="3" xfId="0" applyNumberFormat="1" applyFont="1" applyFill="1" applyBorder="1" applyAlignment="1">
      <alignment horizontal="center" vertical="center"/>
    </xf>
    <xf numFmtId="0" fontId="5" fillId="0" borderId="3" xfId="0" applyFont="1" applyBorder="1" applyAlignment="1">
      <alignment horizontal="center" vertical="center"/>
    </xf>
    <xf numFmtId="0" fontId="5" fillId="0" borderId="0" xfId="0" applyFont="1" applyAlignment="1">
      <alignment horizontal="right" vertical="center"/>
    </xf>
    <xf numFmtId="10" fontId="0" fillId="0" borderId="0" xfId="0" applyNumberFormat="1"/>
    <xf numFmtId="9" fontId="0" fillId="0" borderId="0" xfId="0" applyNumberFormat="1"/>
    <xf numFmtId="0" fontId="0" fillId="7" borderId="0" xfId="0" applyFill="1"/>
    <xf numFmtId="14" fontId="1" fillId="3" borderId="5" xfId="0" applyNumberFormat="1" applyFont="1" applyFill="1" applyBorder="1" applyAlignment="1">
      <alignment horizontal="center" vertical="center"/>
    </xf>
    <xf numFmtId="14" fontId="0" fillId="0" borderId="0" xfId="0" applyNumberFormat="1" applyAlignment="1">
      <alignment horizontal="left" indent="1"/>
    </xf>
    <xf numFmtId="0" fontId="5" fillId="2" borderId="3" xfId="0" applyNumberFormat="1" applyFont="1" applyFill="1" applyBorder="1" applyAlignment="1">
      <alignment horizontal="center" vertical="center"/>
    </xf>
    <xf numFmtId="0" fontId="1" fillId="0" borderId="1" xfId="0" applyNumberFormat="1" applyFont="1" applyBorder="1" applyAlignment="1">
      <alignment horizontal="right" vertical="center"/>
    </xf>
    <xf numFmtId="0" fontId="1" fillId="0" borderId="0" xfId="0" applyNumberFormat="1" applyFont="1" applyAlignment="1">
      <alignment horizontal="right" vertical="center"/>
    </xf>
    <xf numFmtId="0" fontId="0" fillId="6" borderId="0" xfId="0" applyFill="1" applyAlignment="1">
      <alignment horizontal="center"/>
    </xf>
    <xf numFmtId="0" fontId="0" fillId="5" borderId="0" xfId="0" applyFill="1" applyAlignment="1">
      <alignment horizontal="center"/>
    </xf>
    <xf numFmtId="0" fontId="0" fillId="0" borderId="0" xfId="0" applyAlignment="1">
      <alignment horizontal="center"/>
    </xf>
  </cellXfs>
  <cellStyles count="2">
    <cellStyle name="Comma" xfId="1" builtinId="3"/>
    <cellStyle name="Normal" xfId="0" builtinId="0"/>
  </cellStyles>
  <dxfs count="56">
    <dxf>
      <numFmt numFmtId="13" formatCode="0%"/>
    </dxf>
    <dxf>
      <numFmt numFmtId="13" formatCode="0%"/>
    </dxf>
    <dxf>
      <numFmt numFmtId="164" formatCode="_(* #,##0_);_(* \(#,##0\);_(* &quot;-&quot;??_);_(@_)"/>
    </dxf>
    <dxf>
      <numFmt numFmtId="164" formatCode="_(* #,##0_);_(* \(#,##0\);_(* &quot;-&quot;??_);_(@_)"/>
    </dxf>
    <dxf>
      <numFmt numFmtId="13" formatCode="0%"/>
    </dxf>
    <dxf>
      <numFmt numFmtId="164" formatCode="_(* #,##0_);_(* \(#,##0\);_(* &quot;-&quot;??_);_(@_)"/>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border>
    </dxf>
    <dxf>
      <font>
        <b/>
        <i val="0"/>
        <strike val="0"/>
        <condense val="0"/>
        <extend val="0"/>
        <outline val="0"/>
        <shadow val="0"/>
        <u val="none"/>
        <vertAlign val="baseline"/>
        <sz val="12"/>
        <color theme="1"/>
        <name val="Calibri"/>
        <family val="2"/>
        <scheme val="minor"/>
      </font>
      <numFmt numFmtId="19" formatCode="m/d/yyyy"/>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numFmt numFmtId="19" formatCode="m/d/yyyy"/>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theme="1"/>
        <name val="Calibri"/>
        <family val="2"/>
        <scheme val="minor"/>
      </font>
      <numFmt numFmtId="19" formatCode="m/d/yyyy"/>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numFmt numFmtId="19" formatCode="m/d/yyyy"/>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theme="1"/>
        <name val="Calibri"/>
        <family val="2"/>
        <scheme val="minor"/>
      </font>
      <numFmt numFmtId="19" formatCode="m/d/yyyy"/>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numFmt numFmtId="19" formatCode="m/d/yyyy"/>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theme="1"/>
        <name val="Calibri"/>
        <family val="2"/>
        <scheme val="minor"/>
      </font>
      <numFmt numFmtId="19" formatCode="m/d/yyyy"/>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numFmt numFmtId="19" formatCode="m/d/yyyy"/>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theme="1"/>
        <name val="Calibri"/>
        <family val="2"/>
        <scheme val="minor"/>
      </font>
      <numFmt numFmtId="0" formatCode="General"/>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numFmt numFmtId="19" formatCode="m/d/yyyy"/>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theme="1"/>
        <name val="Calibri"/>
        <family val="2"/>
        <scheme val="minor"/>
      </font>
      <numFmt numFmtId="19" formatCode="m/d/yyyy"/>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numFmt numFmtId="2" formatCode="0.00"/>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theme="1"/>
        <name val="Calibri"/>
        <family val="2"/>
        <scheme val="minor"/>
      </font>
      <numFmt numFmtId="2" formatCode="0.00"/>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numFmt numFmtId="1" formatCode="0"/>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theme="1"/>
        <name val="Calibri"/>
        <family val="2"/>
        <scheme val="minor"/>
      </font>
      <numFmt numFmtId="1" formatCode="0"/>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numFmt numFmtId="1" formatCode="0"/>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theme="1"/>
        <name val="Calibri"/>
        <family val="2"/>
        <scheme val="minor"/>
      </font>
      <numFmt numFmtId="1" formatCode="0"/>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theme="1"/>
        <name val="Calibri"/>
        <family val="2"/>
        <scheme val="minor"/>
      </font>
      <numFmt numFmtId="0" formatCode="General"/>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left style="thin">
          <color indexed="64"/>
        </left>
        <top style="thin">
          <color indexed="64"/>
        </top>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3" tint="-0.499984740745262"/>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z val="36"/>
        <name val="Calibri"/>
        <family val="2"/>
        <scheme val="minor"/>
      </font>
      <fill>
        <patternFill patternType="none">
          <bgColor auto="1"/>
        </patternFill>
      </fill>
      <border diagonalUp="0" diagonalDown="0">
        <left/>
        <right/>
        <top/>
        <bottom/>
        <vertical/>
        <horizontal/>
      </border>
    </dxf>
    <dxf>
      <font>
        <sz val="16"/>
        <color rgb="FF590202"/>
        <name val="Calibri"/>
        <family val="2"/>
        <scheme val="minor"/>
      </font>
      <fill>
        <patternFill>
          <bgColor rgb="FF8A96A6"/>
        </patternFill>
      </fill>
      <border>
        <left style="medium">
          <color auto="1"/>
        </left>
        <right style="medium">
          <color auto="1"/>
        </right>
        <top style="medium">
          <color auto="1"/>
        </top>
        <bottom style="medium">
          <color auto="1"/>
        </bottom>
      </border>
    </dxf>
  </dxfs>
  <tableStyles count="3" defaultTableStyle="TableStyleMedium2" defaultPivotStyle="PivotStyleLight16">
    <tableStyle name="Invisible" pivot="0" table="0" count="0" xr9:uid="{AA73528B-8D85-432A-9172-AA70B5E8C669}"/>
    <tableStyle name="Slicer Style 1" pivot="0" table="0" count="1" xr9:uid="{270DCE57-6A2C-4C26-9129-27627E246F1E}">
      <tableStyleElement type="wholeTable" dxfId="55"/>
    </tableStyle>
    <tableStyle name="Slicer Style 2" pivot="0" table="0" count="1" xr9:uid="{4F38A5F8-DCED-4E7B-95BA-814789685184}">
      <tableStyleElement type="wholeTable" dxfId="54"/>
    </tableStyle>
  </tableStyles>
  <colors>
    <mruColors>
      <color rgb="FF590202"/>
      <color rgb="FF8A96A6"/>
      <color rgb="FF182540"/>
      <color rgb="FFA60311"/>
      <color rgb="FFF2F2F0"/>
      <color rgb="FF1B2A49"/>
    </mruColors>
  </colors>
  <extLst>
    <ext xmlns:x14="http://schemas.microsoft.com/office/spreadsheetml/2009/9/main" uri="{EB79DEF2-80B8-43e5-95BD-54CBDDF9020C}">
      <x14:slicerStyles defaultSlicerStyle="SlicerStyleLight5">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ammar gamal mahmoud(AutoRecovered)(AutoRecovered).xlsx]Pivot table!PivotTable4</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A96A6"/>
          </a:solidFill>
          <a:ln>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rgbClr val="59020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spPr>
            <a:noFill/>
            <a:ln>
              <a:noFill/>
            </a:ln>
            <a:effectLst/>
          </c:spPr>
          <c:txPr>
            <a:bodyPr rot="0" spcFirstLastPara="1" vertOverflow="ellipsis" vert="horz" wrap="square" anchor="ctr" anchorCtr="1"/>
            <a:lstStyle/>
            <a:p>
              <a:pPr>
                <a:defRPr sz="2000" b="1" i="0" u="none" strike="noStrike" kern="1200" baseline="0">
                  <a:solidFill>
                    <a:srgbClr val="59020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086081288224948"/>
                  <c:h val="0.13498516834669874"/>
                </c:manualLayout>
              </c15:layout>
            </c:ext>
          </c:extLst>
        </c:dLbl>
      </c:pivotFmt>
      <c:pivotFmt>
        <c:idx val="4"/>
        <c:spPr>
          <a:solidFill>
            <a:srgbClr val="8A96A6"/>
          </a:solidFill>
          <a:ln>
            <a:solidFill>
              <a:schemeClr val="bg2">
                <a:lumMod val="25000"/>
              </a:schemeClr>
            </a:solidFill>
          </a:ln>
          <a:effectLst/>
        </c:spPr>
        <c:dLbl>
          <c:idx val="0"/>
          <c:layout>
            <c:manualLayout>
              <c:x val="-3.7598174277628446E-2"/>
              <c:y val="-5.2005368533879475E-3"/>
            </c:manualLayout>
          </c:layout>
          <c:spPr>
            <a:noFill/>
            <a:ln>
              <a:noFill/>
            </a:ln>
            <a:effectLst/>
          </c:spPr>
          <c:txPr>
            <a:bodyPr rot="0" spcFirstLastPara="1" vertOverflow="ellipsis" vert="horz" wrap="square" anchor="ctr" anchorCtr="1"/>
            <a:lstStyle/>
            <a:p>
              <a:pPr>
                <a:defRPr sz="2000" b="1" i="0" u="none" strike="noStrike" kern="1200" baseline="0">
                  <a:solidFill>
                    <a:srgbClr val="59020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847986148331719"/>
                  <c:h val="0.13498516834669874"/>
                </c:manualLayout>
              </c15:layout>
            </c:ext>
          </c:extLst>
        </c:dLbl>
      </c:pivotFmt>
      <c:pivotFmt>
        <c:idx val="5"/>
        <c:spPr>
          <a:solidFill>
            <a:srgbClr val="8A96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59020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A96A6"/>
          </a:solidFill>
          <a:ln>
            <a:noFill/>
          </a:ln>
          <a:effectLst/>
        </c:spPr>
        <c:dLbl>
          <c:idx val="0"/>
          <c:layout>
            <c:manualLayout>
              <c:x val="-5.8733285711733196E-2"/>
              <c:y val="0"/>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59020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8A96A6"/>
          </a:solidFill>
          <a:ln>
            <a:noFill/>
          </a:ln>
          <a:effectLst/>
        </c:spPr>
        <c:dLbl>
          <c:idx val="0"/>
          <c:layout>
            <c:manualLayout>
              <c:x val="-4.907717626467472E-2"/>
              <c:y val="-9.0316005708348971E-17"/>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59020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8A96A6"/>
          </a:solidFill>
          <a:ln>
            <a:noFill/>
          </a:ln>
          <a:effectLst/>
        </c:spPr>
        <c:dLbl>
          <c:idx val="0"/>
          <c:layout>
            <c:manualLayout>
              <c:x val="-4.1835094179380861E-2"/>
              <c:y val="0"/>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59020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A96A6"/>
          </a:solidFill>
          <a:ln>
            <a:noFill/>
          </a:ln>
          <a:effectLst/>
        </c:spPr>
        <c:dLbl>
          <c:idx val="0"/>
          <c:layout>
            <c:manualLayout>
              <c:x val="-3.6608819981607775E-2"/>
              <c:y val="-2.463192246724197E-3"/>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59020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8A96A6"/>
          </a:solidFill>
          <a:ln>
            <a:noFill/>
          </a:ln>
          <a:effectLst/>
        </c:spPr>
      </c:pivotFmt>
      <c:pivotFmt>
        <c:idx val="11"/>
        <c:spPr>
          <a:solidFill>
            <a:srgbClr val="8A96A6"/>
          </a:solidFill>
          <a:ln>
            <a:noFill/>
          </a:ln>
          <a:effectLst/>
        </c:spPr>
      </c:pivotFmt>
      <c:pivotFmt>
        <c:idx val="12"/>
        <c:spPr>
          <a:solidFill>
            <a:srgbClr val="8A96A6"/>
          </a:solidFill>
          <a:ln>
            <a:noFill/>
          </a:ln>
          <a:effectLst/>
        </c:spPr>
      </c:pivotFmt>
      <c:pivotFmt>
        <c:idx val="13"/>
        <c:spPr>
          <a:solidFill>
            <a:srgbClr val="8A96A6"/>
          </a:solidFill>
          <a:ln>
            <a:noFill/>
          </a:ln>
          <a:effectLst/>
        </c:spPr>
      </c:pivotFmt>
    </c:pivotFmts>
    <c:plotArea>
      <c:layout>
        <c:manualLayout>
          <c:layoutTarget val="inner"/>
          <c:xMode val="edge"/>
          <c:yMode val="edge"/>
          <c:x val="0.31532772059240288"/>
          <c:y val="1.8253473190390911E-2"/>
          <c:w val="0.64972945449022634"/>
          <c:h val="0.96349305361921822"/>
        </c:manualLayout>
      </c:layout>
      <c:barChart>
        <c:barDir val="bar"/>
        <c:grouping val="clustered"/>
        <c:varyColors val="0"/>
        <c:ser>
          <c:idx val="0"/>
          <c:order val="0"/>
          <c:tx>
            <c:strRef>
              <c:f>'Pivot table'!$Q$2</c:f>
              <c:strCache>
                <c:ptCount val="1"/>
                <c:pt idx="0">
                  <c:v>Total</c:v>
                </c:pt>
              </c:strCache>
            </c:strRef>
          </c:tx>
          <c:spPr>
            <a:solidFill>
              <a:srgbClr val="8A96A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59020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table'!$P$3:$P$12</c:f>
              <c:multiLvlStrCache>
                <c:ptCount val="8"/>
                <c:lvl>
                  <c:pt idx="0">
                    <c:v>هومزمارت</c:v>
                  </c:pt>
                  <c:pt idx="1">
                    <c:v>شيك هومز </c:v>
                  </c:pt>
                  <c:pt idx="2">
                    <c:v>اوسكار ريتن </c:v>
                  </c:pt>
                  <c:pt idx="3">
                    <c:v>تاكى</c:v>
                  </c:pt>
                  <c:pt idx="4">
                    <c:v>السويس</c:v>
                  </c:pt>
                  <c:pt idx="5">
                    <c:v>منزلى </c:v>
                  </c:pt>
                  <c:pt idx="6">
                    <c:v>فيس بوك</c:v>
                  </c:pt>
                  <c:pt idx="7">
                    <c:v>كيمت </c:v>
                  </c:pt>
                </c:lvl>
                <c:lvl>
                  <c:pt idx="0">
                    <c:v>تم التسليم</c:v>
                  </c:pt>
                </c:lvl>
              </c:multiLvlStrCache>
            </c:multiLvlStrRef>
          </c:cat>
          <c:val>
            <c:numRef>
              <c:f>'Pivot table'!$Q$3:$Q$12</c:f>
              <c:numCache>
                <c:formatCode>General</c:formatCode>
                <c:ptCount val="8"/>
                <c:pt idx="0">
                  <c:v>60</c:v>
                </c:pt>
                <c:pt idx="1">
                  <c:v>14</c:v>
                </c:pt>
                <c:pt idx="2">
                  <c:v>12</c:v>
                </c:pt>
                <c:pt idx="3">
                  <c:v>6</c:v>
                </c:pt>
                <c:pt idx="4">
                  <c:v>4</c:v>
                </c:pt>
                <c:pt idx="5">
                  <c:v>2</c:v>
                </c:pt>
                <c:pt idx="6">
                  <c:v>2</c:v>
                </c:pt>
                <c:pt idx="7">
                  <c:v>1</c:v>
                </c:pt>
              </c:numCache>
            </c:numRef>
          </c:val>
          <c:extLst>
            <c:ext xmlns:c16="http://schemas.microsoft.com/office/drawing/2014/chart" uri="{C3380CC4-5D6E-409C-BE32-E72D297353CC}">
              <c16:uniqueId val="{00000003-EC25-4E7C-8914-101D3F49D33C}"/>
            </c:ext>
          </c:extLst>
        </c:ser>
        <c:dLbls>
          <c:dLblPos val="outEnd"/>
          <c:showLegendKey val="0"/>
          <c:showVal val="1"/>
          <c:showCatName val="0"/>
          <c:showSerName val="0"/>
          <c:showPercent val="0"/>
          <c:showBubbleSize val="0"/>
        </c:dLbls>
        <c:gapWidth val="182"/>
        <c:axId val="296704143"/>
        <c:axId val="296703663"/>
      </c:barChart>
      <c:catAx>
        <c:axId val="29670414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1" i="0" u="none" strike="noStrike" kern="1200" baseline="0">
                <a:solidFill>
                  <a:srgbClr val="590202"/>
                </a:solidFill>
                <a:latin typeface="+mn-lt"/>
                <a:ea typeface="+mn-ea"/>
                <a:cs typeface="+mn-cs"/>
              </a:defRPr>
            </a:pPr>
            <a:endParaRPr lang="en-US"/>
          </a:p>
        </c:txPr>
        <c:crossAx val="296703663"/>
        <c:crosses val="autoZero"/>
        <c:auto val="1"/>
        <c:lblAlgn val="ctr"/>
        <c:lblOffset val="100"/>
        <c:noMultiLvlLbl val="0"/>
      </c:catAx>
      <c:valAx>
        <c:axId val="296703663"/>
        <c:scaling>
          <c:orientation val="minMax"/>
        </c:scaling>
        <c:delete val="1"/>
        <c:axPos val="b"/>
        <c:numFmt formatCode="General" sourceLinked="1"/>
        <c:majorTickMark val="none"/>
        <c:minorTickMark val="none"/>
        <c:tickLblPos val="nextTo"/>
        <c:crossAx val="296704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ammar gamal mahmoud(AutoRecovered)(AutoRecovered).xlsx]Pivot table!PivotTable13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A96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2000" b="1" i="0" u="none" strike="noStrike" kern="1200" baseline="0">
                  <a:solidFill>
                    <a:srgbClr val="59020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table'!$AL$3</c:f>
              <c:strCache>
                <c:ptCount val="1"/>
                <c:pt idx="0">
                  <c:v>Total</c:v>
                </c:pt>
              </c:strCache>
            </c:strRef>
          </c:tx>
          <c:spPr>
            <a:solidFill>
              <a:srgbClr val="8A96A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2000" b="1" i="0" u="none" strike="noStrike" kern="1200" baseline="0">
                    <a:solidFill>
                      <a:srgbClr val="59020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table'!$AK$4:$AK$10</c:f>
              <c:multiLvlStrCache>
                <c:ptCount val="5"/>
                <c:lvl>
                  <c:pt idx="0">
                    <c:v>٦ اكتوبر  </c:v>
                  </c:pt>
                  <c:pt idx="1">
                    <c:v>القاهره الجديده</c:v>
                  </c:pt>
                  <c:pt idx="2">
                    <c:v>مخزن شيك هومز</c:v>
                  </c:pt>
                  <c:pt idx="3">
                    <c:v>المعادي</c:v>
                  </c:pt>
                  <c:pt idx="4">
                    <c:v>المخزن ابو الغيط </c:v>
                  </c:pt>
                </c:lvl>
                <c:lvl>
                  <c:pt idx="0">
                    <c:v>تم التسليم</c:v>
                  </c:pt>
                </c:lvl>
              </c:multiLvlStrCache>
            </c:multiLvlStrRef>
          </c:cat>
          <c:val>
            <c:numRef>
              <c:f>'Pivot table'!$AL$4:$AL$10</c:f>
              <c:numCache>
                <c:formatCode>General</c:formatCode>
                <c:ptCount val="5"/>
                <c:pt idx="0">
                  <c:v>14</c:v>
                </c:pt>
                <c:pt idx="1">
                  <c:v>10</c:v>
                </c:pt>
                <c:pt idx="2">
                  <c:v>9</c:v>
                </c:pt>
                <c:pt idx="3">
                  <c:v>6</c:v>
                </c:pt>
                <c:pt idx="4">
                  <c:v>6</c:v>
                </c:pt>
              </c:numCache>
            </c:numRef>
          </c:val>
          <c:extLst>
            <c:ext xmlns:c16="http://schemas.microsoft.com/office/drawing/2014/chart" uri="{C3380CC4-5D6E-409C-BE32-E72D297353CC}">
              <c16:uniqueId val="{00000000-FA54-4B3C-8DFA-30AE24D6F7F9}"/>
            </c:ext>
          </c:extLst>
        </c:ser>
        <c:dLbls>
          <c:showLegendKey val="0"/>
          <c:showVal val="0"/>
          <c:showCatName val="0"/>
          <c:showSerName val="0"/>
          <c:showPercent val="0"/>
          <c:showBubbleSize val="0"/>
        </c:dLbls>
        <c:gapWidth val="219"/>
        <c:overlap val="-27"/>
        <c:axId val="1182374703"/>
        <c:axId val="1182375183"/>
      </c:barChart>
      <c:catAx>
        <c:axId val="1182374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800" b="0" i="0" u="none" strike="noStrike" kern="1200" baseline="0">
                <a:solidFill>
                  <a:schemeClr val="tx1"/>
                </a:solidFill>
                <a:latin typeface="+mn-lt"/>
                <a:ea typeface="+mn-ea"/>
                <a:cs typeface="+mn-cs"/>
              </a:defRPr>
            </a:pPr>
            <a:endParaRPr lang="en-US"/>
          </a:p>
        </c:txPr>
        <c:crossAx val="1182375183"/>
        <c:crosses val="autoZero"/>
        <c:auto val="1"/>
        <c:lblAlgn val="ctr"/>
        <c:lblOffset val="100"/>
        <c:noMultiLvlLbl val="0"/>
      </c:catAx>
      <c:valAx>
        <c:axId val="1182375183"/>
        <c:scaling>
          <c:orientation val="minMax"/>
        </c:scaling>
        <c:delete val="1"/>
        <c:axPos val="l"/>
        <c:numFmt formatCode="General" sourceLinked="1"/>
        <c:majorTickMark val="out"/>
        <c:minorTickMark val="none"/>
        <c:tickLblPos val="nextTo"/>
        <c:crossAx val="1182374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ammar gamal mahmoud(AutoRecovered)(AutoRecovered).xlsx]Pivot table!PivotTable9</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59020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3200" b="1" i="0" u="none" strike="noStrike" kern="1200" baseline="0">
                  <a:solidFill>
                    <a:srgbClr val="59020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90202"/>
          </a:solidFill>
          <a:ln w="19050">
            <a:solidFill>
              <a:schemeClr val="lt1"/>
            </a:solidFill>
          </a:ln>
          <a:effectLst/>
        </c:spPr>
        <c:dLbl>
          <c:idx val="0"/>
          <c:layout>
            <c:manualLayout>
              <c:x val="-0.11985557704912855"/>
              <c:y val="-0.23607476056084972"/>
            </c:manualLayout>
          </c:layout>
          <c:tx>
            <c:rich>
              <a:bodyPr rot="0" spcFirstLastPara="1" vertOverflow="ellipsis" vert="horz" wrap="square" anchor="ctr" anchorCtr="1"/>
              <a:lstStyle/>
              <a:p>
                <a:pPr>
                  <a:defRPr lang="en-US" sz="3200" b="1" i="0" u="none" strike="noStrike" kern="1200" baseline="0">
                    <a:solidFill>
                      <a:srgbClr val="590202"/>
                    </a:solidFill>
                    <a:latin typeface="+mn-lt"/>
                    <a:ea typeface="+mn-ea"/>
                    <a:cs typeface="+mn-cs"/>
                  </a:defRPr>
                </a:pPr>
                <a:fld id="{3395380A-17E9-497F-AA85-42E2D0424BF0}" type="VALUE">
                  <a:rPr lang="en-US" sz="2400">
                    <a:solidFill>
                      <a:srgbClr val="8A96A6"/>
                    </a:solidFill>
                  </a:rPr>
                  <a:pPr>
                    <a:defRPr sz="3200" b="1">
                      <a:solidFill>
                        <a:srgbClr val="590202"/>
                      </a:solidFill>
                    </a:defRPr>
                  </a:pPr>
                  <a:t>[VALUE]</a:t>
                </a:fld>
                <a:endParaRPr lang="en-US"/>
              </a:p>
            </c:rich>
          </c:tx>
          <c:spPr>
            <a:noFill/>
            <a:ln>
              <a:noFill/>
            </a:ln>
            <a:effectLst/>
          </c:spPr>
          <c:txPr>
            <a:bodyPr rot="0" spcFirstLastPara="1" vertOverflow="ellipsis" vert="horz" wrap="square" anchor="ctr" anchorCtr="1"/>
            <a:lstStyle/>
            <a:p>
              <a:pPr>
                <a:defRPr lang="en-US" sz="3200" b="1" i="0" u="none" strike="noStrike" kern="1200" baseline="0">
                  <a:solidFill>
                    <a:srgbClr val="59020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182540"/>
          </a:solidFill>
          <a:ln w="19050">
            <a:solidFill>
              <a:schemeClr val="lt1"/>
            </a:solidFill>
          </a:ln>
          <a:effectLst/>
        </c:spPr>
        <c:dLbl>
          <c:idx val="0"/>
          <c:layout>
            <c:manualLayout>
              <c:x val="0.120210997277577"/>
              <c:y val="0.19787172932035912"/>
            </c:manualLayout>
          </c:layout>
          <c:tx>
            <c:rich>
              <a:bodyPr rot="0" spcFirstLastPara="1" vertOverflow="ellipsis" vert="horz" wrap="square" anchor="ctr" anchorCtr="1"/>
              <a:lstStyle/>
              <a:p>
                <a:pPr>
                  <a:defRPr lang="en-US" sz="3200" b="1" i="0" u="none" strike="noStrike" kern="1200" baseline="0">
                    <a:solidFill>
                      <a:srgbClr val="590202"/>
                    </a:solidFill>
                    <a:latin typeface="+mn-lt"/>
                    <a:ea typeface="+mn-ea"/>
                    <a:cs typeface="+mn-cs"/>
                  </a:defRPr>
                </a:pPr>
                <a:fld id="{3EE6BCF2-43EF-48F3-A9EF-616030305473}" type="VALUE">
                  <a:rPr lang="en-US" sz="2400">
                    <a:solidFill>
                      <a:srgbClr val="8A96A6"/>
                    </a:solidFill>
                  </a:rPr>
                  <a:pPr>
                    <a:defRPr sz="3200" b="1">
                      <a:solidFill>
                        <a:srgbClr val="590202"/>
                      </a:solidFill>
                    </a:defRPr>
                  </a:pPr>
                  <a:t>[VALUE]</a:t>
                </a:fld>
                <a:endParaRPr lang="en-US"/>
              </a:p>
            </c:rich>
          </c:tx>
          <c:spPr>
            <a:noFill/>
            <a:ln>
              <a:noFill/>
            </a:ln>
            <a:effectLst/>
          </c:spPr>
          <c:txPr>
            <a:bodyPr rot="0" spcFirstLastPara="1" vertOverflow="ellipsis" vert="horz" wrap="square" anchor="ctr" anchorCtr="1"/>
            <a:lstStyle/>
            <a:p>
              <a:pPr>
                <a:defRPr lang="en-US" sz="3200" b="1" i="0" u="none" strike="noStrike" kern="1200" baseline="0">
                  <a:solidFill>
                    <a:srgbClr val="59020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table'!$B$13</c:f>
              <c:strCache>
                <c:ptCount val="1"/>
                <c:pt idx="0">
                  <c:v>Total</c:v>
                </c:pt>
              </c:strCache>
            </c:strRef>
          </c:tx>
          <c:spPr>
            <a:solidFill>
              <a:srgbClr val="590202"/>
            </a:solidFill>
          </c:spPr>
          <c:dPt>
            <c:idx val="0"/>
            <c:bubble3D val="0"/>
            <c:spPr>
              <a:solidFill>
                <a:srgbClr val="590202"/>
              </a:solidFill>
              <a:ln w="19050">
                <a:solidFill>
                  <a:schemeClr val="lt1"/>
                </a:solidFill>
              </a:ln>
              <a:effectLst/>
            </c:spPr>
            <c:extLst>
              <c:ext xmlns:c16="http://schemas.microsoft.com/office/drawing/2014/chart" uri="{C3380CC4-5D6E-409C-BE32-E72D297353CC}">
                <c16:uniqueId val="{00000001-8A46-475C-98C8-7867B6A3AE6D}"/>
              </c:ext>
            </c:extLst>
          </c:dPt>
          <c:dPt>
            <c:idx val="1"/>
            <c:bubble3D val="0"/>
            <c:spPr>
              <a:solidFill>
                <a:srgbClr val="182540"/>
              </a:solidFill>
              <a:ln w="19050">
                <a:solidFill>
                  <a:schemeClr val="lt1"/>
                </a:solidFill>
              </a:ln>
              <a:effectLst/>
            </c:spPr>
            <c:extLst>
              <c:ext xmlns:c16="http://schemas.microsoft.com/office/drawing/2014/chart" uri="{C3380CC4-5D6E-409C-BE32-E72D297353CC}">
                <c16:uniqueId val="{00000003-8A46-475C-98C8-7867B6A3AE6D}"/>
              </c:ext>
            </c:extLst>
          </c:dPt>
          <c:dLbls>
            <c:dLbl>
              <c:idx val="0"/>
              <c:layout>
                <c:manualLayout>
                  <c:x val="-0.11985557704912855"/>
                  <c:y val="-0.23607476056084972"/>
                </c:manualLayout>
              </c:layout>
              <c:tx>
                <c:rich>
                  <a:bodyPr/>
                  <a:lstStyle/>
                  <a:p>
                    <a:fld id="{3395380A-17E9-497F-AA85-42E2D0424BF0}" type="VALUE">
                      <a:rPr lang="en-US" sz="2400">
                        <a:solidFill>
                          <a:srgbClr val="8A96A6"/>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A46-475C-98C8-7867B6A3AE6D}"/>
                </c:ext>
              </c:extLst>
            </c:dLbl>
            <c:dLbl>
              <c:idx val="1"/>
              <c:layout>
                <c:manualLayout>
                  <c:x val="0.120210997277577"/>
                  <c:y val="0.19787172932035912"/>
                </c:manualLayout>
              </c:layout>
              <c:tx>
                <c:rich>
                  <a:bodyPr/>
                  <a:lstStyle/>
                  <a:p>
                    <a:fld id="{3EE6BCF2-43EF-48F3-A9EF-616030305473}" type="VALUE">
                      <a:rPr lang="en-US" sz="2400">
                        <a:solidFill>
                          <a:srgbClr val="8A96A6"/>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A46-475C-98C8-7867B6A3AE6D}"/>
                </c:ext>
              </c:extLst>
            </c:dLbl>
            <c:spPr>
              <a:noFill/>
              <a:ln>
                <a:noFill/>
              </a:ln>
              <a:effectLst/>
            </c:spPr>
            <c:txPr>
              <a:bodyPr rot="0" spcFirstLastPara="1" vertOverflow="ellipsis" vert="horz" wrap="square" anchor="ctr" anchorCtr="1"/>
              <a:lstStyle/>
              <a:p>
                <a:pPr>
                  <a:defRPr lang="en-US" sz="3200" b="1" i="0" u="none" strike="noStrike" kern="1200" baseline="0">
                    <a:solidFill>
                      <a:srgbClr val="59020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table'!$A$14:$A$16</c:f>
              <c:strCache>
                <c:ptCount val="2"/>
                <c:pt idx="0">
                  <c:v>افراد</c:v>
                </c:pt>
                <c:pt idx="1">
                  <c:v>شركة</c:v>
                </c:pt>
              </c:strCache>
            </c:strRef>
          </c:cat>
          <c:val>
            <c:numRef>
              <c:f>'Pivot table'!$B$14:$B$16</c:f>
              <c:numCache>
                <c:formatCode>0%</c:formatCode>
                <c:ptCount val="2"/>
                <c:pt idx="0">
                  <c:v>0.76612932563458103</c:v>
                </c:pt>
                <c:pt idx="1">
                  <c:v>0.23387067436541895</c:v>
                </c:pt>
              </c:numCache>
            </c:numRef>
          </c:val>
          <c:extLst>
            <c:ext xmlns:c16="http://schemas.microsoft.com/office/drawing/2014/chart" uri="{C3380CC4-5D6E-409C-BE32-E72D297353CC}">
              <c16:uniqueId val="{00000004-8A46-475C-98C8-7867B6A3AE6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24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ammar gamal mahmoud(AutoRecovered)(AutoRecovered).xlsx]Pivot table!PivotTable14</c:name>
    <c:fmtId val="11"/>
  </c:pivotSource>
  <c:chart>
    <c:autoTitleDeleted val="1"/>
    <c:pivotFmts>
      <c:pivotFmt>
        <c:idx val="0"/>
        <c:spPr>
          <a:solidFill>
            <a:srgbClr val="590202"/>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8A96A6"/>
          </a:solidFill>
          <a:ln w="19050">
            <a:solidFill>
              <a:schemeClr val="lt1"/>
            </a:solidFill>
          </a:ln>
          <a:effectLst/>
        </c:spPr>
      </c:pivotFmt>
      <c:pivotFmt>
        <c:idx val="2"/>
        <c:spPr>
          <a:solidFill>
            <a:srgbClr val="590202"/>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590202"/>
          </a:solidFill>
          <a:ln w="19050">
            <a:solidFill>
              <a:schemeClr val="lt1"/>
            </a:solidFill>
          </a:ln>
          <a:effectLst/>
        </c:spPr>
      </c:pivotFmt>
      <c:pivotFmt>
        <c:idx val="4"/>
        <c:spPr>
          <a:solidFill>
            <a:srgbClr val="8A96A6"/>
          </a:solidFill>
          <a:ln w="19050">
            <a:solidFill>
              <a:schemeClr val="lt1"/>
            </a:solidFill>
          </a:ln>
          <a:effectLst/>
        </c:spPr>
      </c:pivotFmt>
      <c:pivotFmt>
        <c:idx val="5"/>
        <c:spPr>
          <a:solidFill>
            <a:srgbClr val="590202"/>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590202"/>
          </a:solidFill>
          <a:ln w="19050">
            <a:solidFill>
              <a:schemeClr val="lt1"/>
            </a:solidFill>
          </a:ln>
          <a:effectLst/>
        </c:spPr>
        <c:dLbl>
          <c:idx val="0"/>
          <c:layout>
            <c:manualLayout>
              <c:x val="-0.17719592789716285"/>
              <c:y val="2.0114283862425916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8A96A6"/>
          </a:solidFill>
          <a:ln w="19050">
            <a:solidFill>
              <a:schemeClr val="lt1"/>
            </a:solidFill>
          </a:ln>
          <a:effectLst/>
        </c:spPr>
        <c:dLbl>
          <c:idx val="0"/>
          <c:layout>
            <c:manualLayout>
              <c:x val="0.14820732051782523"/>
              <c:y val="-0.21602431646239231"/>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182540"/>
          </a:solidFill>
          <a:ln w="19050">
            <a:solidFill>
              <a:schemeClr val="lt1"/>
            </a:solidFill>
          </a:ln>
          <a:effectLst/>
        </c:spPr>
        <c:dLbl>
          <c:idx val="0"/>
          <c:layout>
            <c:manualLayout>
              <c:x val="0.12466673225701684"/>
              <c:y val="0.17391172251848497"/>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590202"/>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590202"/>
          </a:solidFill>
          <a:ln w="19050">
            <a:solidFill>
              <a:schemeClr val="lt1"/>
            </a:solidFill>
          </a:ln>
          <a:effectLst/>
        </c:spPr>
        <c:dLbl>
          <c:idx val="0"/>
          <c:layout>
            <c:manualLayout>
              <c:x val="-0.17719592789716285"/>
              <c:y val="2.0114283862425916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8A96A6"/>
          </a:solidFill>
          <a:ln w="19050">
            <a:solidFill>
              <a:schemeClr val="lt1"/>
            </a:solidFill>
          </a:ln>
          <a:effectLst/>
        </c:spPr>
        <c:dLbl>
          <c:idx val="0"/>
          <c:layout>
            <c:manualLayout>
              <c:x val="0.14820732051782523"/>
              <c:y val="-0.21602431646239231"/>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182540"/>
          </a:solidFill>
          <a:ln w="19050">
            <a:solidFill>
              <a:schemeClr val="lt1"/>
            </a:solidFill>
          </a:ln>
          <a:effectLst/>
        </c:spPr>
        <c:dLbl>
          <c:idx val="0"/>
          <c:layout>
            <c:manualLayout>
              <c:x val="0.12466673225701684"/>
              <c:y val="0.17391172251848497"/>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590202"/>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590202"/>
          </a:solidFill>
          <a:ln w="19050">
            <a:solidFill>
              <a:schemeClr val="lt1"/>
            </a:solidFill>
          </a:ln>
          <a:effectLst/>
        </c:spPr>
        <c:dLbl>
          <c:idx val="0"/>
          <c:layout>
            <c:manualLayout>
              <c:x val="-0.17719592789716285"/>
              <c:y val="2.0114283862425916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rgbClr val="8A96A6"/>
          </a:solidFill>
          <a:ln w="19050">
            <a:solidFill>
              <a:schemeClr val="lt1"/>
            </a:solidFill>
          </a:ln>
          <a:effectLst/>
        </c:spPr>
        <c:dLbl>
          <c:idx val="0"/>
          <c:layout>
            <c:manualLayout>
              <c:x val="0.14820732051782523"/>
              <c:y val="-0.21602431646239231"/>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rgbClr val="182540"/>
          </a:solidFill>
          <a:ln w="19050">
            <a:solidFill>
              <a:schemeClr val="lt1"/>
            </a:solidFill>
          </a:ln>
          <a:effectLst/>
        </c:spPr>
        <c:dLbl>
          <c:idx val="0"/>
          <c:layout>
            <c:manualLayout>
              <c:x val="0.12466673225701684"/>
              <c:y val="0.17391172251848497"/>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table'!$AQ$3</c:f>
              <c:strCache>
                <c:ptCount val="1"/>
                <c:pt idx="0">
                  <c:v>Total</c:v>
                </c:pt>
              </c:strCache>
            </c:strRef>
          </c:tx>
          <c:spPr>
            <a:solidFill>
              <a:srgbClr val="590202"/>
            </a:solidFill>
          </c:spPr>
          <c:explosion val="3"/>
          <c:dPt>
            <c:idx val="0"/>
            <c:bubble3D val="0"/>
            <c:spPr>
              <a:solidFill>
                <a:srgbClr val="590202"/>
              </a:solidFill>
              <a:ln w="19050">
                <a:solidFill>
                  <a:schemeClr val="lt1"/>
                </a:solidFill>
              </a:ln>
              <a:effectLst/>
            </c:spPr>
            <c:extLst>
              <c:ext xmlns:c16="http://schemas.microsoft.com/office/drawing/2014/chart" uri="{C3380CC4-5D6E-409C-BE32-E72D297353CC}">
                <c16:uniqueId val="{00000001-C625-4E33-A6B3-77348EBAD163}"/>
              </c:ext>
            </c:extLst>
          </c:dPt>
          <c:dPt>
            <c:idx val="1"/>
            <c:bubble3D val="0"/>
            <c:spPr>
              <a:solidFill>
                <a:srgbClr val="8A96A6"/>
              </a:solidFill>
              <a:ln w="19050">
                <a:solidFill>
                  <a:schemeClr val="lt1"/>
                </a:solidFill>
              </a:ln>
              <a:effectLst/>
            </c:spPr>
            <c:extLst>
              <c:ext xmlns:c16="http://schemas.microsoft.com/office/drawing/2014/chart" uri="{C3380CC4-5D6E-409C-BE32-E72D297353CC}">
                <c16:uniqueId val="{00000003-C625-4E33-A6B3-77348EBAD163}"/>
              </c:ext>
            </c:extLst>
          </c:dPt>
          <c:dPt>
            <c:idx val="2"/>
            <c:bubble3D val="0"/>
            <c:spPr>
              <a:solidFill>
                <a:srgbClr val="182540"/>
              </a:solidFill>
              <a:ln w="19050">
                <a:solidFill>
                  <a:schemeClr val="lt1"/>
                </a:solidFill>
              </a:ln>
              <a:effectLst/>
            </c:spPr>
            <c:extLst>
              <c:ext xmlns:c16="http://schemas.microsoft.com/office/drawing/2014/chart" uri="{C3380CC4-5D6E-409C-BE32-E72D297353CC}">
                <c16:uniqueId val="{00000005-C625-4E33-A6B3-77348EBAD163}"/>
              </c:ext>
            </c:extLst>
          </c:dPt>
          <c:dLbls>
            <c:dLbl>
              <c:idx val="0"/>
              <c:layout>
                <c:manualLayout>
                  <c:x val="-0.17719592789716285"/>
                  <c:y val="2.011428386242591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625-4E33-A6B3-77348EBAD163}"/>
                </c:ext>
              </c:extLst>
            </c:dLbl>
            <c:dLbl>
              <c:idx val="1"/>
              <c:layout>
                <c:manualLayout>
                  <c:x val="0.14820732051782523"/>
                  <c:y val="-0.2160243164623923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625-4E33-A6B3-77348EBAD163}"/>
                </c:ext>
              </c:extLst>
            </c:dLbl>
            <c:dLbl>
              <c:idx val="2"/>
              <c:layout>
                <c:manualLayout>
                  <c:x val="0.12466673225701684"/>
                  <c:y val="0.17391172251848497"/>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625-4E33-A6B3-77348EBAD163}"/>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table'!$AP$4:$AP$7</c:f>
              <c:strCache>
                <c:ptCount val="3"/>
                <c:pt idx="0">
                  <c:v>في الموعد</c:v>
                </c:pt>
                <c:pt idx="1">
                  <c:v>متأخر</c:v>
                </c:pt>
                <c:pt idx="2">
                  <c:v>غير محدد</c:v>
                </c:pt>
              </c:strCache>
            </c:strRef>
          </c:cat>
          <c:val>
            <c:numRef>
              <c:f>'Pivot table'!$AQ$4:$AQ$7</c:f>
              <c:numCache>
                <c:formatCode>General</c:formatCode>
                <c:ptCount val="3"/>
                <c:pt idx="0">
                  <c:v>0.47199999999999998</c:v>
                </c:pt>
                <c:pt idx="1">
                  <c:v>0.312</c:v>
                </c:pt>
                <c:pt idx="2">
                  <c:v>0.216</c:v>
                </c:pt>
              </c:numCache>
            </c:numRef>
          </c:val>
          <c:extLst>
            <c:ext xmlns:c16="http://schemas.microsoft.com/office/drawing/2014/chart" uri="{C3380CC4-5D6E-409C-BE32-E72D297353CC}">
              <c16:uniqueId val="{00000006-C625-4E33-A6B3-77348EBAD163}"/>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ammar gamal mahmoud(AutoRecovered)(AutoRecovered).xlsx]Pivot table!PivotTable10</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59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590202"/>
            </a:solidFill>
            <a:round/>
          </a:ln>
          <a:effectLst/>
        </c:spPr>
        <c:marker>
          <c:symbol val="none"/>
        </c:marker>
      </c:pivotFmt>
      <c:pivotFmt>
        <c:idx val="4"/>
        <c:spPr>
          <a:ln w="28575" cap="rnd">
            <a:solidFill>
              <a:srgbClr val="590202"/>
            </a:solidFill>
            <a:round/>
          </a:ln>
          <a:effectLst/>
        </c:spPr>
        <c:marker>
          <c:symbol val="none"/>
        </c:marker>
      </c:pivotFmt>
      <c:pivotFmt>
        <c:idx val="5"/>
        <c:spPr>
          <a:ln w="28575" cap="rnd">
            <a:solidFill>
              <a:srgbClr val="590202"/>
            </a:solidFill>
            <a:round/>
          </a:ln>
          <a:effectLst/>
        </c:spPr>
        <c:marker>
          <c:symbol val="none"/>
        </c:marker>
      </c:pivotFmt>
      <c:pivotFmt>
        <c:idx val="6"/>
        <c:spPr>
          <a:ln w="28575" cap="rnd">
            <a:solidFill>
              <a:srgbClr val="59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59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59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590202"/>
            </a:solidFill>
            <a:round/>
          </a:ln>
          <a:effectLst/>
        </c:spPr>
        <c:marker>
          <c:symbol val="none"/>
        </c:marker>
        <c:dLbl>
          <c:idx val="0"/>
          <c:layout>
            <c:manualLayout>
              <c:x val="-1.117030919262405E-2"/>
              <c:y val="-5.1104634696282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59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59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655732404765756E-2"/>
          <c:y val="0.10343573461698868"/>
          <c:w val="0.95871482373090178"/>
          <c:h val="0.64082271148788217"/>
        </c:manualLayout>
      </c:layout>
      <c:lineChart>
        <c:grouping val="standard"/>
        <c:varyColors val="0"/>
        <c:ser>
          <c:idx val="0"/>
          <c:order val="0"/>
          <c:tx>
            <c:strRef>
              <c:f>'Pivot table'!$G$16</c:f>
              <c:strCache>
                <c:ptCount val="1"/>
                <c:pt idx="0">
                  <c:v>Total</c:v>
                </c:pt>
              </c:strCache>
            </c:strRef>
          </c:tx>
          <c:spPr>
            <a:ln w="28575" cap="rnd">
              <a:solidFill>
                <a:srgbClr val="590202"/>
              </a:solidFill>
              <a:round/>
            </a:ln>
            <a:effectLst/>
          </c:spPr>
          <c:marker>
            <c:symbol val="none"/>
          </c:marker>
          <c:dPt>
            <c:idx val="15"/>
            <c:marker>
              <c:symbol val="none"/>
            </c:marker>
            <c:bubble3D val="0"/>
            <c:spPr>
              <a:ln w="28575" cap="rnd">
                <a:solidFill>
                  <a:srgbClr val="590202"/>
                </a:solidFill>
                <a:round/>
              </a:ln>
              <a:effectLst/>
            </c:spPr>
            <c:extLst>
              <c:ext xmlns:c16="http://schemas.microsoft.com/office/drawing/2014/chart" uri="{C3380CC4-5D6E-409C-BE32-E72D297353CC}">
                <c16:uniqueId val="{00000008-7BCE-43CB-96E7-B7340CE55551}"/>
              </c:ext>
            </c:extLst>
          </c:dPt>
          <c:dPt>
            <c:idx val="16"/>
            <c:marker>
              <c:symbol val="none"/>
            </c:marker>
            <c:bubble3D val="0"/>
            <c:spPr>
              <a:ln w="28575" cap="rnd">
                <a:solidFill>
                  <a:srgbClr val="590202"/>
                </a:solidFill>
                <a:round/>
              </a:ln>
              <a:effectLst/>
            </c:spPr>
            <c:extLst>
              <c:ext xmlns:c16="http://schemas.microsoft.com/office/drawing/2014/chart" uri="{C3380CC4-5D6E-409C-BE32-E72D297353CC}">
                <c16:uniqueId val="{00000007-7BCE-43CB-96E7-B7340CE55551}"/>
              </c:ext>
            </c:extLst>
          </c:dPt>
          <c:dPt>
            <c:idx val="21"/>
            <c:marker>
              <c:symbol val="none"/>
            </c:marker>
            <c:bubble3D val="0"/>
            <c:spPr>
              <a:ln w="28575" cap="rnd">
                <a:solidFill>
                  <a:srgbClr val="590202"/>
                </a:solidFill>
                <a:round/>
              </a:ln>
              <a:effectLst/>
            </c:spPr>
            <c:extLst>
              <c:ext xmlns:c16="http://schemas.microsoft.com/office/drawing/2014/chart" uri="{C3380CC4-5D6E-409C-BE32-E72D297353CC}">
                <c16:uniqueId val="{00000006-7BCE-43CB-96E7-B7340CE55551}"/>
              </c:ext>
            </c:extLst>
          </c:dPt>
          <c:dPt>
            <c:idx val="23"/>
            <c:marker>
              <c:symbol val="none"/>
            </c:marker>
            <c:bubble3D val="0"/>
            <c:spPr>
              <a:ln w="28575" cap="rnd">
                <a:solidFill>
                  <a:srgbClr val="590202"/>
                </a:solidFill>
                <a:round/>
              </a:ln>
              <a:effectLst/>
            </c:spPr>
            <c:extLst>
              <c:ext xmlns:c16="http://schemas.microsoft.com/office/drawing/2014/chart" uri="{C3380CC4-5D6E-409C-BE32-E72D297353CC}">
                <c16:uniqueId val="{00000005-7BCE-43CB-96E7-B7340CE55551}"/>
              </c:ext>
            </c:extLst>
          </c:dPt>
          <c:dPt>
            <c:idx val="25"/>
            <c:marker>
              <c:symbol val="none"/>
            </c:marker>
            <c:bubble3D val="0"/>
            <c:spPr>
              <a:ln w="28575" cap="rnd">
                <a:solidFill>
                  <a:srgbClr val="590202"/>
                </a:solidFill>
                <a:round/>
              </a:ln>
              <a:effectLst/>
            </c:spPr>
            <c:extLst>
              <c:ext xmlns:c16="http://schemas.microsoft.com/office/drawing/2014/chart" uri="{C3380CC4-5D6E-409C-BE32-E72D297353CC}">
                <c16:uniqueId val="{0000000A-7BCE-43CB-96E7-B7340CE55551}"/>
              </c:ext>
            </c:extLst>
          </c:dPt>
          <c:dPt>
            <c:idx val="46"/>
            <c:marker>
              <c:symbol val="none"/>
            </c:marker>
            <c:bubble3D val="0"/>
            <c:spPr>
              <a:ln w="28575" cap="rnd">
                <a:solidFill>
                  <a:srgbClr val="590202"/>
                </a:solidFill>
                <a:round/>
              </a:ln>
              <a:effectLst/>
            </c:spPr>
            <c:extLst>
              <c:ext xmlns:c16="http://schemas.microsoft.com/office/drawing/2014/chart" uri="{C3380CC4-5D6E-409C-BE32-E72D297353CC}">
                <c16:uniqueId val="{00000009-7BCE-43CB-96E7-B7340CE55551}"/>
              </c:ext>
            </c:extLst>
          </c:dPt>
          <c:dLbls>
            <c:dLbl>
              <c:idx val="15"/>
              <c:layout>
                <c:manualLayout>
                  <c:x val="-1.117030919262405E-2"/>
                  <c:y val="-5.11046346962821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BCE-43CB-96E7-B7340CE55551}"/>
                </c:ext>
              </c:extLst>
            </c:dLbl>
            <c:dLbl>
              <c:idx val="16"/>
              <c:delete val="1"/>
              <c:extLst>
                <c:ext xmlns:c15="http://schemas.microsoft.com/office/drawing/2012/chart" uri="{CE6537A1-D6FC-4f65-9D91-7224C49458BB}"/>
                <c:ext xmlns:c16="http://schemas.microsoft.com/office/drawing/2014/chart" uri="{C3380CC4-5D6E-409C-BE32-E72D297353CC}">
                  <c16:uniqueId val="{00000007-7BCE-43CB-96E7-B7340CE55551}"/>
                </c:ext>
              </c:extLst>
            </c:dLbl>
            <c:dLbl>
              <c:idx val="21"/>
              <c:delete val="1"/>
              <c:extLst>
                <c:ext xmlns:c15="http://schemas.microsoft.com/office/drawing/2012/chart" uri="{CE6537A1-D6FC-4f65-9D91-7224C49458BB}"/>
                <c:ext xmlns:c16="http://schemas.microsoft.com/office/drawing/2014/chart" uri="{C3380CC4-5D6E-409C-BE32-E72D297353CC}">
                  <c16:uniqueId val="{00000006-7BCE-43CB-96E7-B7340CE55551}"/>
                </c:ext>
              </c:extLst>
            </c:dLbl>
            <c:dLbl>
              <c:idx val="23"/>
              <c:delete val="1"/>
              <c:extLst>
                <c:ext xmlns:c15="http://schemas.microsoft.com/office/drawing/2012/chart" uri="{CE6537A1-D6FC-4f65-9D91-7224C49458BB}"/>
                <c:ext xmlns:c16="http://schemas.microsoft.com/office/drawing/2014/chart" uri="{C3380CC4-5D6E-409C-BE32-E72D297353CC}">
                  <c16:uniqueId val="{00000005-7BCE-43CB-96E7-B7340CE55551}"/>
                </c:ext>
              </c:extLst>
            </c:dLbl>
            <c:dLbl>
              <c:idx val="25"/>
              <c:delete val="1"/>
              <c:extLst>
                <c:ext xmlns:c15="http://schemas.microsoft.com/office/drawing/2012/chart" uri="{CE6537A1-D6FC-4f65-9D91-7224C49458BB}"/>
                <c:ext xmlns:c16="http://schemas.microsoft.com/office/drawing/2014/chart" uri="{C3380CC4-5D6E-409C-BE32-E72D297353CC}">
                  <c16:uniqueId val="{0000000A-7BCE-43CB-96E7-B7340CE55551}"/>
                </c:ext>
              </c:extLst>
            </c:dLbl>
            <c:dLbl>
              <c:idx val="46"/>
              <c:delete val="1"/>
              <c:extLst>
                <c:ext xmlns:c15="http://schemas.microsoft.com/office/drawing/2012/chart" uri="{CE6537A1-D6FC-4f65-9D91-7224C49458BB}"/>
                <c:ext xmlns:c16="http://schemas.microsoft.com/office/drawing/2014/chart" uri="{C3380CC4-5D6E-409C-BE32-E72D297353CC}">
                  <c16:uniqueId val="{00000009-7BCE-43CB-96E7-B7340CE555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table'!$F$17:$F$67</c:f>
              <c:multiLvlStrCache>
                <c:ptCount val="49"/>
                <c:lvl>
                  <c:pt idx="0">
                    <c:v>7/27/2024</c:v>
                  </c:pt>
                  <c:pt idx="1">
                    <c:v>7/28/2024</c:v>
                  </c:pt>
                  <c:pt idx="2">
                    <c:v>8/14/2024</c:v>
                  </c:pt>
                  <c:pt idx="3">
                    <c:v>8/17/2024</c:v>
                  </c:pt>
                  <c:pt idx="4">
                    <c:v>8/19/2024</c:v>
                  </c:pt>
                  <c:pt idx="5">
                    <c:v>8/25/2024</c:v>
                  </c:pt>
                  <c:pt idx="6">
                    <c:v>9/1/2024</c:v>
                  </c:pt>
                  <c:pt idx="7">
                    <c:v>9/3/2024</c:v>
                  </c:pt>
                  <c:pt idx="8">
                    <c:v>9/4/2024</c:v>
                  </c:pt>
                  <c:pt idx="9">
                    <c:v>9/6/2024</c:v>
                  </c:pt>
                  <c:pt idx="10">
                    <c:v>9/9/2024</c:v>
                  </c:pt>
                  <c:pt idx="11">
                    <c:v>9/12/2024</c:v>
                  </c:pt>
                  <c:pt idx="12">
                    <c:v>9/13/2024</c:v>
                  </c:pt>
                  <c:pt idx="13">
                    <c:v>9/14/2024</c:v>
                  </c:pt>
                  <c:pt idx="14">
                    <c:v>9/15/2024</c:v>
                  </c:pt>
                  <c:pt idx="15">
                    <c:v>9/16/2024</c:v>
                  </c:pt>
                  <c:pt idx="16">
                    <c:v>9/21/2024</c:v>
                  </c:pt>
                  <c:pt idx="17">
                    <c:v>9/23/2024</c:v>
                  </c:pt>
                  <c:pt idx="18">
                    <c:v>9/26/2024</c:v>
                  </c:pt>
                  <c:pt idx="19">
                    <c:v>9/29/2024</c:v>
                  </c:pt>
                  <c:pt idx="20">
                    <c:v>10/1/2024</c:v>
                  </c:pt>
                  <c:pt idx="21">
                    <c:v>10/7/2024</c:v>
                  </c:pt>
                  <c:pt idx="22">
                    <c:v>10/8/2024</c:v>
                  </c:pt>
                  <c:pt idx="23">
                    <c:v>10/10/2024</c:v>
                  </c:pt>
                  <c:pt idx="24">
                    <c:v>10/13/2024</c:v>
                  </c:pt>
                  <c:pt idx="25">
                    <c:v>10/16/2024</c:v>
                  </c:pt>
                  <c:pt idx="26">
                    <c:v>10/17/2024</c:v>
                  </c:pt>
                  <c:pt idx="27">
                    <c:v>10/20/2024</c:v>
                  </c:pt>
                  <c:pt idx="28">
                    <c:v>10/21/2024</c:v>
                  </c:pt>
                  <c:pt idx="29">
                    <c:v>10/22/2024</c:v>
                  </c:pt>
                  <c:pt idx="30">
                    <c:v>10/24/2024</c:v>
                  </c:pt>
                  <c:pt idx="31">
                    <c:v>10/26/2024</c:v>
                  </c:pt>
                  <c:pt idx="32">
                    <c:v>10/28/2024</c:v>
                  </c:pt>
                  <c:pt idx="33">
                    <c:v>11/8/2024</c:v>
                  </c:pt>
                  <c:pt idx="34">
                    <c:v>11/10/2024</c:v>
                  </c:pt>
                  <c:pt idx="35">
                    <c:v>11/11/2024</c:v>
                  </c:pt>
                  <c:pt idx="36">
                    <c:v>11/12/2024</c:v>
                  </c:pt>
                  <c:pt idx="37">
                    <c:v>11/14/2024</c:v>
                  </c:pt>
                  <c:pt idx="38">
                    <c:v>11/17/2024</c:v>
                  </c:pt>
                  <c:pt idx="39">
                    <c:v>11/19/2024</c:v>
                  </c:pt>
                  <c:pt idx="40">
                    <c:v>11/20/2024</c:v>
                  </c:pt>
                  <c:pt idx="41">
                    <c:v>11/22/2024</c:v>
                  </c:pt>
                  <c:pt idx="42">
                    <c:v>11/24/2024</c:v>
                  </c:pt>
                  <c:pt idx="43">
                    <c:v>11/27/2024</c:v>
                  </c:pt>
                  <c:pt idx="44">
                    <c:v>12/1/2024</c:v>
                  </c:pt>
                  <c:pt idx="45">
                    <c:v>12/4/2024</c:v>
                  </c:pt>
                  <c:pt idx="46">
                    <c:v>12/9/2024</c:v>
                  </c:pt>
                  <c:pt idx="47">
                    <c:v>12/12/2024</c:v>
                  </c:pt>
                  <c:pt idx="48">
                    <c:v>12/14/2024</c:v>
                  </c:pt>
                </c:lvl>
                <c:lvl>
                  <c:pt idx="0">
                    <c:v>تم التسليم</c:v>
                  </c:pt>
                </c:lvl>
              </c:multiLvlStrCache>
            </c:multiLvlStrRef>
          </c:cat>
          <c:val>
            <c:numRef>
              <c:f>'Pivot table'!$G$17:$G$67</c:f>
              <c:numCache>
                <c:formatCode>_(* #,##0_);_(* \(#,##0\);_(* "-"??_);_(@_)</c:formatCode>
                <c:ptCount val="49"/>
                <c:pt idx="0">
                  <c:v>10160</c:v>
                </c:pt>
                <c:pt idx="1">
                  <c:v>10160</c:v>
                </c:pt>
                <c:pt idx="2">
                  <c:v>14550</c:v>
                </c:pt>
                <c:pt idx="3">
                  <c:v>12000</c:v>
                </c:pt>
                <c:pt idx="4">
                  <c:v>22000</c:v>
                </c:pt>
                <c:pt idx="5">
                  <c:v>27870</c:v>
                </c:pt>
                <c:pt idx="6">
                  <c:v>28915</c:v>
                </c:pt>
                <c:pt idx="7">
                  <c:v>12360</c:v>
                </c:pt>
                <c:pt idx="8">
                  <c:v>9300</c:v>
                </c:pt>
                <c:pt idx="9">
                  <c:v>31948</c:v>
                </c:pt>
                <c:pt idx="10">
                  <c:v>10987</c:v>
                </c:pt>
                <c:pt idx="11">
                  <c:v>47827</c:v>
                </c:pt>
                <c:pt idx="12">
                  <c:v>131180</c:v>
                </c:pt>
                <c:pt idx="13">
                  <c:v>157800</c:v>
                </c:pt>
                <c:pt idx="14">
                  <c:v>43997</c:v>
                </c:pt>
                <c:pt idx="15">
                  <c:v>7849</c:v>
                </c:pt>
                <c:pt idx="16">
                  <c:v>5074</c:v>
                </c:pt>
                <c:pt idx="17">
                  <c:v>6250</c:v>
                </c:pt>
                <c:pt idx="18">
                  <c:v>23893</c:v>
                </c:pt>
                <c:pt idx="19">
                  <c:v>11453</c:v>
                </c:pt>
                <c:pt idx="20">
                  <c:v>33189.905440000002</c:v>
                </c:pt>
                <c:pt idx="21">
                  <c:v>14550</c:v>
                </c:pt>
                <c:pt idx="22">
                  <c:v>14550</c:v>
                </c:pt>
                <c:pt idx="23">
                  <c:v>14550</c:v>
                </c:pt>
                <c:pt idx="24">
                  <c:v>12899</c:v>
                </c:pt>
                <c:pt idx="25">
                  <c:v>10499</c:v>
                </c:pt>
                <c:pt idx="26">
                  <c:v>12899</c:v>
                </c:pt>
                <c:pt idx="27">
                  <c:v>5135</c:v>
                </c:pt>
                <c:pt idx="28">
                  <c:v>8943</c:v>
                </c:pt>
                <c:pt idx="29">
                  <c:v>25555</c:v>
                </c:pt>
                <c:pt idx="30">
                  <c:v>15516</c:v>
                </c:pt>
                <c:pt idx="31">
                  <c:v>23298</c:v>
                </c:pt>
                <c:pt idx="32">
                  <c:v>10400</c:v>
                </c:pt>
                <c:pt idx="33">
                  <c:v>15872</c:v>
                </c:pt>
                <c:pt idx="34">
                  <c:v>4520</c:v>
                </c:pt>
                <c:pt idx="35">
                  <c:v>12099</c:v>
                </c:pt>
                <c:pt idx="36">
                  <c:v>17161</c:v>
                </c:pt>
                <c:pt idx="37">
                  <c:v>24589</c:v>
                </c:pt>
                <c:pt idx="38">
                  <c:v>7396</c:v>
                </c:pt>
                <c:pt idx="39">
                  <c:v>6000</c:v>
                </c:pt>
                <c:pt idx="40">
                  <c:v>13439</c:v>
                </c:pt>
                <c:pt idx="41">
                  <c:v>6000</c:v>
                </c:pt>
                <c:pt idx="42">
                  <c:v>10885</c:v>
                </c:pt>
                <c:pt idx="43">
                  <c:v>18698</c:v>
                </c:pt>
                <c:pt idx="44">
                  <c:v>5217</c:v>
                </c:pt>
                <c:pt idx="45">
                  <c:v>10249</c:v>
                </c:pt>
                <c:pt idx="46">
                  <c:v>10445</c:v>
                </c:pt>
                <c:pt idx="47">
                  <c:v>24298</c:v>
                </c:pt>
                <c:pt idx="48">
                  <c:v>8700</c:v>
                </c:pt>
              </c:numCache>
            </c:numRef>
          </c:val>
          <c:smooth val="0"/>
          <c:extLst>
            <c:ext xmlns:c16="http://schemas.microsoft.com/office/drawing/2014/chart" uri="{C3380CC4-5D6E-409C-BE32-E72D297353CC}">
              <c16:uniqueId val="{00000000-7BCE-43CB-96E7-B7340CE55551}"/>
            </c:ext>
          </c:extLst>
        </c:ser>
        <c:dLbls>
          <c:dLblPos val="t"/>
          <c:showLegendKey val="0"/>
          <c:showVal val="1"/>
          <c:showCatName val="0"/>
          <c:showSerName val="0"/>
          <c:showPercent val="0"/>
          <c:showBubbleSize val="0"/>
        </c:dLbls>
        <c:smooth val="0"/>
        <c:axId val="509855168"/>
        <c:axId val="509848448"/>
      </c:lineChart>
      <c:catAx>
        <c:axId val="50985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848448"/>
        <c:crosses val="autoZero"/>
        <c:auto val="1"/>
        <c:lblAlgn val="ctr"/>
        <c:lblOffset val="100"/>
        <c:noMultiLvlLbl val="0"/>
      </c:catAx>
      <c:valAx>
        <c:axId val="509848448"/>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855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ammar gamal mahmoud(AutoRecovered)(AutoRecovered).xlsx]Pivot table!PivotTable11</c:name>
    <c:fmtId val="5"/>
  </c:pivotSource>
  <c:chart>
    <c:autoTitleDeleted val="1"/>
    <c:pivotFmts>
      <c:pivotFmt>
        <c:idx val="0"/>
        <c:spPr>
          <a:solidFill>
            <a:srgbClr val="5902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8254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902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8254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902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8A96A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122935860135825E-2"/>
          <c:y val="6.9546222101859081E-2"/>
          <c:w val="0.9858770641398642"/>
          <c:h val="0.78378542526245365"/>
        </c:manualLayout>
      </c:layout>
      <c:barChart>
        <c:barDir val="col"/>
        <c:grouping val="clustered"/>
        <c:varyColors val="0"/>
        <c:ser>
          <c:idx val="0"/>
          <c:order val="0"/>
          <c:tx>
            <c:strRef>
              <c:f>'Pivot table'!$L$17</c:f>
              <c:strCache>
                <c:ptCount val="1"/>
                <c:pt idx="0">
                  <c:v>Total</c:v>
                </c:pt>
              </c:strCache>
            </c:strRef>
          </c:tx>
          <c:spPr>
            <a:solidFill>
              <a:srgbClr val="59020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8A96A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table'!$K$18:$K$25</c:f>
              <c:strCache>
                <c:ptCount val="7"/>
                <c:pt idx="0">
                  <c:v>July</c:v>
                </c:pt>
                <c:pt idx="1">
                  <c:v>August</c:v>
                </c:pt>
                <c:pt idx="2">
                  <c:v>September</c:v>
                </c:pt>
                <c:pt idx="3">
                  <c:v>October</c:v>
                </c:pt>
                <c:pt idx="4">
                  <c:v>November</c:v>
                </c:pt>
                <c:pt idx="5">
                  <c:v>December</c:v>
                </c:pt>
                <c:pt idx="6">
                  <c:v>-</c:v>
                </c:pt>
              </c:strCache>
            </c:strRef>
          </c:cat>
          <c:val>
            <c:numRef>
              <c:f>'Pivot table'!$L$18:$L$25</c:f>
              <c:numCache>
                <c:formatCode>_(* #,##0_);_(* \(#,##0\);_(* "-"??_);_(@_)</c:formatCode>
                <c:ptCount val="7"/>
                <c:pt idx="0">
                  <c:v>31775</c:v>
                </c:pt>
                <c:pt idx="1">
                  <c:v>89253</c:v>
                </c:pt>
                <c:pt idx="2">
                  <c:v>664201</c:v>
                </c:pt>
                <c:pt idx="3">
                  <c:v>229472.81544000001</c:v>
                </c:pt>
                <c:pt idx="4">
                  <c:v>184971</c:v>
                </c:pt>
                <c:pt idx="5">
                  <c:v>71008</c:v>
                </c:pt>
                <c:pt idx="6">
                  <c:v>16000</c:v>
                </c:pt>
              </c:numCache>
            </c:numRef>
          </c:val>
          <c:extLst>
            <c:ext xmlns:c16="http://schemas.microsoft.com/office/drawing/2014/chart" uri="{C3380CC4-5D6E-409C-BE32-E72D297353CC}">
              <c16:uniqueId val="{00000000-F243-4173-B933-E75EAD3F977E}"/>
            </c:ext>
          </c:extLst>
        </c:ser>
        <c:dLbls>
          <c:dLblPos val="outEnd"/>
          <c:showLegendKey val="0"/>
          <c:showVal val="1"/>
          <c:showCatName val="0"/>
          <c:showSerName val="0"/>
          <c:showPercent val="0"/>
          <c:showBubbleSize val="0"/>
        </c:dLbls>
        <c:gapWidth val="219"/>
        <c:overlap val="-27"/>
        <c:axId val="637273344"/>
        <c:axId val="637274784"/>
      </c:barChart>
      <c:catAx>
        <c:axId val="63727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637274784"/>
        <c:crosses val="autoZero"/>
        <c:auto val="1"/>
        <c:lblAlgn val="ctr"/>
        <c:lblOffset val="100"/>
        <c:noMultiLvlLbl val="0"/>
      </c:catAx>
      <c:valAx>
        <c:axId val="637274784"/>
        <c:scaling>
          <c:orientation val="minMax"/>
        </c:scaling>
        <c:delete val="1"/>
        <c:axPos val="l"/>
        <c:numFmt formatCode="_(* #,##0_);_(* \(#,##0\);_(* &quot;-&quot;??_);_(@_)" sourceLinked="1"/>
        <c:majorTickMark val="none"/>
        <c:minorTickMark val="none"/>
        <c:tickLblPos val="nextTo"/>
        <c:crossAx val="637273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chart" Target="../charts/chart1.xml"/><Relationship Id="rId7" Type="http://schemas.openxmlformats.org/officeDocument/2006/relationships/hyperlink" Target="#'Daily Sales Performance'!A1"/><Relationship Id="rId2" Type="http://schemas.openxmlformats.org/officeDocument/2006/relationships/image" Target="../media/image2.png"/><Relationship Id="rId1" Type="http://schemas.openxmlformats.org/officeDocument/2006/relationships/image" Target="../media/image1.gif"/><Relationship Id="rId6" Type="http://schemas.openxmlformats.org/officeDocument/2006/relationships/image" Target="../media/image3.png"/><Relationship Id="rId5" Type="http://schemas.openxmlformats.org/officeDocument/2006/relationships/hyperlink" Target="#&#1575;&#1604;&#1576;&#1610;&#1575;&#1606;&#1575;&#1578;!A1"/><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1575;&#1604;&#1576;&#1610;&#1575;&#1606;&#1575;&#1578;!A1"/><Relationship Id="rId1" Type="http://schemas.openxmlformats.org/officeDocument/2006/relationships/chart" Target="../charts/chart4.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hyperlink" Target="#sales!A1"/></Relationships>
</file>

<file path=xl/drawings/drawing1.xml><?xml version="1.0" encoding="utf-8"?>
<xdr:wsDr xmlns:xdr="http://schemas.openxmlformats.org/drawingml/2006/spreadsheetDrawing" xmlns:a="http://schemas.openxmlformats.org/drawingml/2006/main">
  <xdr:twoCellAnchor>
    <xdr:from>
      <xdr:col>2</xdr:col>
      <xdr:colOff>571501</xdr:colOff>
      <xdr:row>4</xdr:row>
      <xdr:rowOff>98021</xdr:rowOff>
    </xdr:from>
    <xdr:to>
      <xdr:col>41</xdr:col>
      <xdr:colOff>245054</xdr:colOff>
      <xdr:row>55</xdr:row>
      <xdr:rowOff>166686</xdr:rowOff>
    </xdr:to>
    <xdr:sp macro="" textlink="">
      <xdr:nvSpPr>
        <xdr:cNvPr id="4" name="Rectangle: Rounded Corners 3">
          <a:extLst>
            <a:ext uri="{FF2B5EF4-FFF2-40B4-BE49-F238E27FC236}">
              <a16:creationId xmlns:a16="http://schemas.microsoft.com/office/drawing/2014/main" id="{D112452F-EACA-702C-FF82-1DE9F7A73C1A}"/>
            </a:ext>
          </a:extLst>
        </xdr:cNvPr>
        <xdr:cNvSpPr/>
      </xdr:nvSpPr>
      <xdr:spPr>
        <a:xfrm>
          <a:off x="1809751" y="860021"/>
          <a:ext cx="23819428" cy="9784165"/>
        </a:xfrm>
        <a:prstGeom prst="roundRect">
          <a:avLst>
            <a:gd name="adj" fmla="val 6610"/>
          </a:avLst>
        </a:prstGeom>
        <a:solidFill>
          <a:srgbClr val="F2F2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71437</xdr:colOff>
      <xdr:row>0</xdr:row>
      <xdr:rowOff>120968</xdr:rowOff>
    </xdr:from>
    <xdr:ext cx="23713441" cy="730250"/>
    <xdr:sp macro="" textlink="">
      <xdr:nvSpPr>
        <xdr:cNvPr id="7" name="TextBox 6">
          <a:extLst>
            <a:ext uri="{FF2B5EF4-FFF2-40B4-BE49-F238E27FC236}">
              <a16:creationId xmlns:a16="http://schemas.microsoft.com/office/drawing/2014/main" id="{60DA626B-DE30-C3EC-5AFE-DCA3387A1395}"/>
            </a:ext>
          </a:extLst>
        </xdr:cNvPr>
        <xdr:cNvSpPr txBox="1"/>
      </xdr:nvSpPr>
      <xdr:spPr>
        <a:xfrm>
          <a:off x="1928812" y="120968"/>
          <a:ext cx="23713441" cy="730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4000" b="1" i="0" u="none">
              <a:solidFill>
                <a:srgbClr val="F2F2F0"/>
              </a:solidFill>
              <a:latin typeface="Aptos Narrow" panose="020B0004020202020204" pitchFamily="34" charset="0"/>
            </a:rPr>
            <a:t>MISUO Sales</a:t>
          </a:r>
          <a:r>
            <a:rPr lang="en-US" sz="4000" b="1" i="0" u="none" baseline="0">
              <a:solidFill>
                <a:srgbClr val="F2F2F0"/>
              </a:solidFill>
              <a:latin typeface="Aptos Narrow" panose="020B0004020202020204" pitchFamily="34" charset="0"/>
            </a:rPr>
            <a:t> Dashboard </a:t>
          </a:r>
          <a:endParaRPr lang="en-US" sz="4000" b="1" i="0" u="none">
            <a:solidFill>
              <a:srgbClr val="F2F2F0"/>
            </a:solidFill>
            <a:latin typeface="Aptos Narrow" panose="020B0004020202020204" pitchFamily="34" charset="0"/>
          </a:endParaRPr>
        </a:p>
      </xdr:txBody>
    </xdr:sp>
    <xdr:clientData/>
  </xdr:oneCellAnchor>
  <xdr:twoCellAnchor>
    <xdr:from>
      <xdr:col>10</xdr:col>
      <xdr:colOff>127845</xdr:colOff>
      <xdr:row>17</xdr:row>
      <xdr:rowOff>70072</xdr:rowOff>
    </xdr:from>
    <xdr:to>
      <xdr:col>16</xdr:col>
      <xdr:colOff>525990</xdr:colOff>
      <xdr:row>26</xdr:row>
      <xdr:rowOff>185007</xdr:rowOff>
    </xdr:to>
    <xdr:sp macro="" textlink="">
      <xdr:nvSpPr>
        <xdr:cNvPr id="9" name="Rectangle: Rounded Corners 8">
          <a:extLst>
            <a:ext uri="{FF2B5EF4-FFF2-40B4-BE49-F238E27FC236}">
              <a16:creationId xmlns:a16="http://schemas.microsoft.com/office/drawing/2014/main" id="{B67041A1-4143-4D9A-9695-DE55D94DB283}"/>
            </a:ext>
          </a:extLst>
        </xdr:cNvPr>
        <xdr:cNvSpPr/>
      </xdr:nvSpPr>
      <xdr:spPr>
        <a:xfrm>
          <a:off x="6319095" y="3308572"/>
          <a:ext cx="4112895" cy="1829435"/>
        </a:xfrm>
        <a:prstGeom prst="roundRect">
          <a:avLst/>
        </a:prstGeom>
        <a:solidFill>
          <a:schemeClr val="bg1"/>
        </a:solidFill>
        <a:ln>
          <a:noFill/>
        </a:ln>
        <a:effectLst>
          <a:outerShdw blurRad="63500" sx="102000" sy="102000" algn="ctr" rotWithShape="0">
            <a:prstClr val="black">
              <a:alpha val="2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127845</xdr:colOff>
      <xdr:row>40</xdr:row>
      <xdr:rowOff>101283</xdr:rowOff>
    </xdr:from>
    <xdr:to>
      <xdr:col>16</xdr:col>
      <xdr:colOff>483445</xdr:colOff>
      <xdr:row>50</xdr:row>
      <xdr:rowOff>12556</xdr:rowOff>
    </xdr:to>
    <xdr:sp macro="" textlink="">
      <xdr:nvSpPr>
        <xdr:cNvPr id="10" name="Rectangle: Rounded Corners 9">
          <a:extLst>
            <a:ext uri="{FF2B5EF4-FFF2-40B4-BE49-F238E27FC236}">
              <a16:creationId xmlns:a16="http://schemas.microsoft.com/office/drawing/2014/main" id="{74FAA62D-7FBC-46F0-997B-1041C4572A0D}"/>
            </a:ext>
          </a:extLst>
        </xdr:cNvPr>
        <xdr:cNvSpPr/>
      </xdr:nvSpPr>
      <xdr:spPr>
        <a:xfrm>
          <a:off x="6319095" y="7721283"/>
          <a:ext cx="4070350" cy="1816273"/>
        </a:xfrm>
        <a:prstGeom prst="roundRect">
          <a:avLst/>
        </a:prstGeom>
        <a:solidFill>
          <a:schemeClr val="bg1"/>
        </a:solidFill>
        <a:ln>
          <a:noFill/>
        </a:ln>
        <a:effectLst>
          <a:outerShdw blurRad="63500" sx="102000" sy="102000" algn="ctr" rotWithShape="0">
            <a:prstClr val="black">
              <a:alpha val="2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32</xdr:col>
      <xdr:colOff>122550</xdr:colOff>
      <xdr:row>6</xdr:row>
      <xdr:rowOff>43816</xdr:rowOff>
    </xdr:from>
    <xdr:to>
      <xdr:col>40</xdr:col>
      <xdr:colOff>546730</xdr:colOff>
      <xdr:row>51</xdr:row>
      <xdr:rowOff>81909</xdr:rowOff>
    </xdr:to>
    <xdr:sp macro="" textlink="">
      <xdr:nvSpPr>
        <xdr:cNvPr id="12" name="Rectangle: Rounded Corners 11">
          <a:extLst>
            <a:ext uri="{FF2B5EF4-FFF2-40B4-BE49-F238E27FC236}">
              <a16:creationId xmlns:a16="http://schemas.microsoft.com/office/drawing/2014/main" id="{4CA796D7-2E62-4159-BD1F-DEB4A1A199E4}"/>
            </a:ext>
          </a:extLst>
        </xdr:cNvPr>
        <xdr:cNvSpPr/>
      </xdr:nvSpPr>
      <xdr:spPr>
        <a:xfrm>
          <a:off x="19934550" y="1186816"/>
          <a:ext cx="5377180" cy="8610593"/>
        </a:xfrm>
        <a:prstGeom prst="roundRect">
          <a:avLst/>
        </a:prstGeom>
        <a:solidFill>
          <a:schemeClr val="bg1"/>
        </a:solidFill>
        <a:ln>
          <a:noFill/>
        </a:ln>
        <a:effectLst>
          <a:outerShdw blurRad="63500" sx="102000" sy="102000" algn="ctr" rotWithShape="0">
            <a:prstClr val="black">
              <a:alpha val="2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160451</xdr:colOff>
      <xdr:row>16</xdr:row>
      <xdr:rowOff>10478</xdr:rowOff>
    </xdr:from>
    <xdr:to>
      <xdr:col>31</xdr:col>
      <xdr:colOff>512011</xdr:colOff>
      <xdr:row>30</xdr:row>
      <xdr:rowOff>35416</xdr:rowOff>
    </xdr:to>
    <xdr:sp macro="" textlink="">
      <xdr:nvSpPr>
        <xdr:cNvPr id="13" name="Rectangle: Rounded Corners 12">
          <a:extLst>
            <a:ext uri="{FF2B5EF4-FFF2-40B4-BE49-F238E27FC236}">
              <a16:creationId xmlns:a16="http://schemas.microsoft.com/office/drawing/2014/main" id="{84DD2351-45DA-4E45-A33B-104F524F2499}"/>
            </a:ext>
          </a:extLst>
        </xdr:cNvPr>
        <xdr:cNvSpPr/>
      </xdr:nvSpPr>
      <xdr:spPr>
        <a:xfrm>
          <a:off x="10685576" y="3058478"/>
          <a:ext cx="9019310" cy="2691938"/>
        </a:xfrm>
        <a:prstGeom prst="roundRect">
          <a:avLst/>
        </a:prstGeom>
        <a:solidFill>
          <a:schemeClr val="bg1"/>
        </a:solidFill>
        <a:ln>
          <a:noFill/>
        </a:ln>
        <a:effectLst>
          <a:outerShdw blurRad="63500" sx="102000" sy="102000" algn="ctr" rotWithShape="0">
            <a:prstClr val="black">
              <a:alpha val="2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23</xdr:col>
      <xdr:colOff>232409</xdr:colOff>
      <xdr:row>31</xdr:row>
      <xdr:rowOff>67922</xdr:rowOff>
    </xdr:from>
    <xdr:to>
      <xdr:col>31</xdr:col>
      <xdr:colOff>388301</xdr:colOff>
      <xdr:row>50</xdr:row>
      <xdr:rowOff>106657</xdr:rowOff>
    </xdr:to>
    <xdr:sp macro="" textlink="">
      <xdr:nvSpPr>
        <xdr:cNvPr id="14" name="Rectangle: Rounded Corners 13">
          <a:extLst>
            <a:ext uri="{FF2B5EF4-FFF2-40B4-BE49-F238E27FC236}">
              <a16:creationId xmlns:a16="http://schemas.microsoft.com/office/drawing/2014/main" id="{625E6D55-E9A3-43A0-96EA-7FD0C74D8095}"/>
            </a:ext>
          </a:extLst>
        </xdr:cNvPr>
        <xdr:cNvSpPr/>
      </xdr:nvSpPr>
      <xdr:spPr>
        <a:xfrm>
          <a:off x="14163332" y="5538691"/>
          <a:ext cx="5001431" cy="3379812"/>
        </a:xfrm>
        <a:prstGeom prst="roundRect">
          <a:avLst/>
        </a:prstGeom>
        <a:solidFill>
          <a:schemeClr val="bg1"/>
        </a:solidFill>
        <a:ln>
          <a:noFill/>
        </a:ln>
        <a:effectLst>
          <a:outerShdw blurRad="63500" sx="102000" sy="102000" algn="ctr" rotWithShape="0">
            <a:prstClr val="black">
              <a:alpha val="2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127845</xdr:colOff>
      <xdr:row>29</xdr:row>
      <xdr:rowOff>16780</xdr:rowOff>
    </xdr:from>
    <xdr:to>
      <xdr:col>16</xdr:col>
      <xdr:colOff>520275</xdr:colOff>
      <xdr:row>38</xdr:row>
      <xdr:rowOff>82820</xdr:rowOff>
    </xdr:to>
    <xdr:sp macro="" textlink="">
      <xdr:nvSpPr>
        <xdr:cNvPr id="16" name="Rectangle: Rounded Corners 15">
          <a:extLst>
            <a:ext uri="{FF2B5EF4-FFF2-40B4-BE49-F238E27FC236}">
              <a16:creationId xmlns:a16="http://schemas.microsoft.com/office/drawing/2014/main" id="{85430560-6D13-4E2D-9E78-3E1EE68A7D30}"/>
            </a:ext>
          </a:extLst>
        </xdr:cNvPr>
        <xdr:cNvSpPr/>
      </xdr:nvSpPr>
      <xdr:spPr>
        <a:xfrm>
          <a:off x="6319095" y="5541280"/>
          <a:ext cx="4107180" cy="1780540"/>
        </a:xfrm>
        <a:prstGeom prst="roundRect">
          <a:avLst/>
        </a:prstGeom>
        <a:solidFill>
          <a:schemeClr val="bg1"/>
        </a:solidFill>
        <a:ln>
          <a:noFill/>
        </a:ln>
        <a:effectLst>
          <a:outerShdw blurRad="63500" sx="102000" sy="102000" algn="ctr" rotWithShape="0">
            <a:prstClr val="black">
              <a:alpha val="2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10</xdr:col>
      <xdr:colOff>127979</xdr:colOff>
      <xdr:row>17</xdr:row>
      <xdr:rowOff>59863</xdr:rowOff>
    </xdr:from>
    <xdr:ext cx="3988435" cy="625755"/>
    <xdr:sp macro="" textlink="">
      <xdr:nvSpPr>
        <xdr:cNvPr id="20" name="TextBox 19">
          <a:extLst>
            <a:ext uri="{FF2B5EF4-FFF2-40B4-BE49-F238E27FC236}">
              <a16:creationId xmlns:a16="http://schemas.microsoft.com/office/drawing/2014/main" id="{127A572D-4AFB-4E5D-A057-3FA81B7C98A8}"/>
            </a:ext>
          </a:extLst>
        </xdr:cNvPr>
        <xdr:cNvSpPr txBox="1"/>
      </xdr:nvSpPr>
      <xdr:spPr>
        <a:xfrm>
          <a:off x="6319229" y="3298363"/>
          <a:ext cx="3988435" cy="6257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4000" b="1">
              <a:solidFill>
                <a:srgbClr val="590202"/>
              </a:solidFill>
            </a:rPr>
            <a:t>Total</a:t>
          </a:r>
          <a:r>
            <a:rPr lang="ar-EG" sz="4000" b="1">
              <a:solidFill>
                <a:srgbClr val="590202"/>
              </a:solidFill>
            </a:rPr>
            <a:t> </a:t>
          </a:r>
          <a:r>
            <a:rPr lang="en-US" sz="4000" b="1">
              <a:solidFill>
                <a:srgbClr val="590202"/>
              </a:solidFill>
            </a:rPr>
            <a:t>orders</a:t>
          </a:r>
        </a:p>
      </xdr:txBody>
    </xdr:sp>
    <xdr:clientData/>
  </xdr:oneCellAnchor>
  <xdr:oneCellAnchor>
    <xdr:from>
      <xdr:col>10</xdr:col>
      <xdr:colOff>374968</xdr:colOff>
      <xdr:row>29</xdr:row>
      <xdr:rowOff>56197</xdr:rowOff>
    </xdr:from>
    <xdr:ext cx="3785986" cy="667665"/>
    <xdr:sp macro="" textlink="">
      <xdr:nvSpPr>
        <xdr:cNvPr id="21" name="TextBox 20">
          <a:extLst>
            <a:ext uri="{FF2B5EF4-FFF2-40B4-BE49-F238E27FC236}">
              <a16:creationId xmlns:a16="http://schemas.microsoft.com/office/drawing/2014/main" id="{D4967DBF-1180-4C36-924E-A148247361D8}"/>
            </a:ext>
          </a:extLst>
        </xdr:cNvPr>
        <xdr:cNvSpPr txBox="1"/>
      </xdr:nvSpPr>
      <xdr:spPr>
        <a:xfrm>
          <a:off x="6566218" y="5580697"/>
          <a:ext cx="3785986" cy="6676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4000" b="1">
              <a:solidFill>
                <a:srgbClr val="590202"/>
              </a:solidFill>
              <a:latin typeface="+mn-lt"/>
              <a:ea typeface="+mn-ea"/>
              <a:cs typeface="+mn-cs"/>
            </a:rPr>
            <a:t>Ave. Selling Price</a:t>
          </a:r>
        </a:p>
      </xdr:txBody>
    </xdr:sp>
    <xdr:clientData/>
  </xdr:oneCellAnchor>
  <xdr:oneCellAnchor>
    <xdr:from>
      <xdr:col>10</xdr:col>
      <xdr:colOff>223837</xdr:colOff>
      <xdr:row>40</xdr:row>
      <xdr:rowOff>49212</xdr:rowOff>
    </xdr:from>
    <xdr:ext cx="3996689" cy="718466"/>
    <xdr:sp macro="" textlink="">
      <xdr:nvSpPr>
        <xdr:cNvPr id="23" name="TextBox 22">
          <a:extLst>
            <a:ext uri="{FF2B5EF4-FFF2-40B4-BE49-F238E27FC236}">
              <a16:creationId xmlns:a16="http://schemas.microsoft.com/office/drawing/2014/main" id="{3FB34BB9-939E-4F65-A9C6-334A51CC789C}"/>
            </a:ext>
          </a:extLst>
        </xdr:cNvPr>
        <xdr:cNvSpPr txBox="1"/>
      </xdr:nvSpPr>
      <xdr:spPr>
        <a:xfrm>
          <a:off x="6415087" y="7669212"/>
          <a:ext cx="3996689"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4000" b="1">
              <a:solidFill>
                <a:srgbClr val="590202"/>
              </a:solidFill>
            </a:rPr>
            <a:t>Total </a:t>
          </a:r>
          <a:r>
            <a:rPr lang="en-US" sz="4000" b="1">
              <a:solidFill>
                <a:srgbClr val="590202"/>
              </a:solidFill>
              <a:latin typeface="+mn-lt"/>
              <a:ea typeface="+mn-ea"/>
              <a:cs typeface="+mn-cs"/>
            </a:rPr>
            <a:t>Customers</a:t>
          </a:r>
        </a:p>
      </xdr:txBody>
    </xdr:sp>
    <xdr:clientData/>
  </xdr:oneCellAnchor>
  <xdr:oneCellAnchor>
    <xdr:from>
      <xdr:col>19</xdr:col>
      <xdr:colOff>494346</xdr:colOff>
      <xdr:row>15</xdr:row>
      <xdr:rowOff>42141</xdr:rowOff>
    </xdr:from>
    <xdr:ext cx="5500689" cy="718466"/>
    <xdr:sp macro="" textlink="">
      <xdr:nvSpPr>
        <xdr:cNvPr id="25" name="TextBox 24">
          <a:extLst>
            <a:ext uri="{FF2B5EF4-FFF2-40B4-BE49-F238E27FC236}">
              <a16:creationId xmlns:a16="http://schemas.microsoft.com/office/drawing/2014/main" id="{EFB274F8-D2E6-4DFF-9C91-3923B1C94080}"/>
            </a:ext>
          </a:extLst>
        </xdr:cNvPr>
        <xdr:cNvSpPr txBox="1"/>
      </xdr:nvSpPr>
      <xdr:spPr>
        <a:xfrm>
          <a:off x="12257721" y="2899641"/>
          <a:ext cx="5500689"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4000" b="1">
              <a:solidFill>
                <a:srgbClr val="590202"/>
              </a:solidFill>
            </a:rPr>
            <a:t>Orders by Area</a:t>
          </a:r>
        </a:p>
      </xdr:txBody>
    </xdr:sp>
    <xdr:clientData/>
  </xdr:oneCellAnchor>
  <xdr:oneCellAnchor>
    <xdr:from>
      <xdr:col>33</xdr:col>
      <xdr:colOff>214312</xdr:colOff>
      <xdr:row>6</xdr:row>
      <xdr:rowOff>90804</xdr:rowOff>
    </xdr:from>
    <xdr:ext cx="4069773" cy="718466"/>
    <xdr:sp macro="" textlink="">
      <xdr:nvSpPr>
        <xdr:cNvPr id="26" name="TextBox 25">
          <a:extLst>
            <a:ext uri="{FF2B5EF4-FFF2-40B4-BE49-F238E27FC236}">
              <a16:creationId xmlns:a16="http://schemas.microsoft.com/office/drawing/2014/main" id="{E61F64A1-A7B9-4597-B7B0-5DA936A9A27E}"/>
            </a:ext>
          </a:extLst>
        </xdr:cNvPr>
        <xdr:cNvSpPr txBox="1"/>
      </xdr:nvSpPr>
      <xdr:spPr>
        <a:xfrm>
          <a:off x="20645437" y="1233804"/>
          <a:ext cx="4069773"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4000" b="1">
              <a:solidFill>
                <a:srgbClr val="590202"/>
              </a:solidFill>
            </a:rPr>
            <a:t>Sales by Platform</a:t>
          </a:r>
        </a:p>
      </xdr:txBody>
    </xdr:sp>
    <xdr:clientData/>
  </xdr:oneCellAnchor>
  <xdr:oneCellAnchor>
    <xdr:from>
      <xdr:col>23</xdr:col>
      <xdr:colOff>12381</xdr:colOff>
      <xdr:row>32</xdr:row>
      <xdr:rowOff>6350</xdr:rowOff>
    </xdr:from>
    <xdr:ext cx="5557203" cy="593304"/>
    <xdr:sp macro="" textlink="">
      <xdr:nvSpPr>
        <xdr:cNvPr id="27" name="TextBox 26">
          <a:extLst>
            <a:ext uri="{FF2B5EF4-FFF2-40B4-BE49-F238E27FC236}">
              <a16:creationId xmlns:a16="http://schemas.microsoft.com/office/drawing/2014/main" id="{0F0CD2D3-306A-42D7-AE66-F0F2D2C113C1}"/>
            </a:ext>
          </a:extLst>
        </xdr:cNvPr>
        <xdr:cNvSpPr txBox="1"/>
      </xdr:nvSpPr>
      <xdr:spPr>
        <a:xfrm>
          <a:off x="14252256" y="6102350"/>
          <a:ext cx="5557203"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r>
            <a:rPr lang="en-US" sz="3200" b="1">
              <a:solidFill>
                <a:srgbClr val="590202"/>
              </a:solidFill>
              <a:latin typeface="+mn-lt"/>
              <a:ea typeface="+mn-ea"/>
              <a:cs typeface="+mn-cs"/>
            </a:rPr>
            <a:t>sales by class</a:t>
          </a:r>
        </a:p>
      </xdr:txBody>
    </xdr:sp>
    <xdr:clientData/>
  </xdr:oneCellAnchor>
  <xdr:oneCellAnchor>
    <xdr:from>
      <xdr:col>12</xdr:col>
      <xdr:colOff>483793</xdr:colOff>
      <xdr:row>20</xdr:row>
      <xdr:rowOff>109394</xdr:rowOff>
    </xdr:from>
    <xdr:ext cx="2335318" cy="1162685"/>
    <xdr:sp macro="" textlink="'Pivot table'!H3">
      <xdr:nvSpPr>
        <xdr:cNvPr id="3" name="TextBox 2">
          <a:extLst>
            <a:ext uri="{FF2B5EF4-FFF2-40B4-BE49-F238E27FC236}">
              <a16:creationId xmlns:a16="http://schemas.microsoft.com/office/drawing/2014/main" id="{074CC62F-A5E3-4F52-B832-CA2DA7364154}"/>
            </a:ext>
          </a:extLst>
        </xdr:cNvPr>
        <xdr:cNvSpPr txBox="1"/>
      </xdr:nvSpPr>
      <xdr:spPr>
        <a:xfrm>
          <a:off x="7913293" y="3919394"/>
          <a:ext cx="2335318" cy="11626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B2469D7F-0B00-4C46-800F-F3868A8AB581}" type="TxLink">
            <a:rPr lang="en-US" sz="4800" b="0" i="0" u="none" strike="noStrike">
              <a:solidFill>
                <a:srgbClr val="590202"/>
              </a:solidFill>
              <a:latin typeface="Calibri"/>
              <a:ea typeface="Calibri"/>
              <a:cs typeface="Calibri"/>
            </a:rPr>
            <a:pPr marL="0" indent="0" algn="ctr"/>
            <a:t>125</a:t>
          </a:fld>
          <a:endParaRPr lang="en-US" sz="4800" b="0" i="0" u="none" strike="noStrike">
            <a:solidFill>
              <a:srgbClr val="590202"/>
            </a:solidFill>
            <a:latin typeface="Calibri"/>
            <a:ea typeface="Calibri"/>
            <a:cs typeface="Calibri"/>
          </a:endParaRPr>
        </a:p>
      </xdr:txBody>
    </xdr:sp>
    <xdr:clientData/>
  </xdr:oneCellAnchor>
  <xdr:oneCellAnchor>
    <xdr:from>
      <xdr:col>10</xdr:col>
      <xdr:colOff>318241</xdr:colOff>
      <xdr:row>32</xdr:row>
      <xdr:rowOff>40323</xdr:rowOff>
    </xdr:from>
    <xdr:ext cx="3980815" cy="1162685"/>
    <xdr:sp macro="" textlink="'Pivot table'!M3">
      <xdr:nvSpPr>
        <xdr:cNvPr id="5" name="TextBox 4">
          <a:extLst>
            <a:ext uri="{FF2B5EF4-FFF2-40B4-BE49-F238E27FC236}">
              <a16:creationId xmlns:a16="http://schemas.microsoft.com/office/drawing/2014/main" id="{D014A0AE-BD60-44F5-8D5F-1130486E634F}"/>
            </a:ext>
          </a:extLst>
        </xdr:cNvPr>
        <xdr:cNvSpPr txBox="1"/>
      </xdr:nvSpPr>
      <xdr:spPr>
        <a:xfrm>
          <a:off x="6509491" y="6136323"/>
          <a:ext cx="3980815" cy="11626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2FCDEDD2-7CEF-459F-97C8-8998C426AF5D}" type="TxLink">
            <a:rPr lang="en-US" sz="4800" b="0" i="0" u="none" strike="noStrike">
              <a:solidFill>
                <a:srgbClr val="590202"/>
              </a:solidFill>
              <a:latin typeface="Calibri"/>
              <a:ea typeface="Calibri"/>
              <a:cs typeface="Calibri"/>
            </a:rPr>
            <a:pPr marL="0" indent="0" algn="ctr"/>
            <a:t> 10,293 </a:t>
          </a:fld>
          <a:endParaRPr lang="en-US" sz="4800" b="0" i="0" u="none" strike="noStrike">
            <a:solidFill>
              <a:srgbClr val="590202"/>
            </a:solidFill>
            <a:latin typeface="Calibri"/>
            <a:ea typeface="Calibri"/>
            <a:cs typeface="Calibri"/>
          </a:endParaRPr>
        </a:p>
      </xdr:txBody>
    </xdr:sp>
    <xdr:clientData/>
  </xdr:oneCellAnchor>
  <xdr:twoCellAnchor editAs="oneCell">
    <xdr:from>
      <xdr:col>11</xdr:col>
      <xdr:colOff>374360</xdr:colOff>
      <xdr:row>20</xdr:row>
      <xdr:rowOff>138143</xdr:rowOff>
    </xdr:from>
    <xdr:to>
      <xdr:col>13</xdr:col>
      <xdr:colOff>205419</xdr:colOff>
      <xdr:row>26</xdr:row>
      <xdr:rowOff>88382</xdr:rowOff>
    </xdr:to>
    <xdr:pic>
      <xdr:nvPicPr>
        <xdr:cNvPr id="28" name="Picture 27">
          <a:extLst>
            <a:ext uri="{FF2B5EF4-FFF2-40B4-BE49-F238E27FC236}">
              <a16:creationId xmlns:a16="http://schemas.microsoft.com/office/drawing/2014/main" id="{55D978EA-741F-04C3-82F3-2E0CAD57B2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184735" y="3948143"/>
          <a:ext cx="1069309" cy="1093239"/>
        </a:xfrm>
        <a:prstGeom prst="rect">
          <a:avLst/>
        </a:prstGeom>
      </xdr:spPr>
    </xdr:pic>
    <xdr:clientData/>
  </xdr:twoCellAnchor>
  <xdr:oneCellAnchor>
    <xdr:from>
      <xdr:col>13</xdr:col>
      <xdr:colOff>220662</xdr:colOff>
      <xdr:row>44</xdr:row>
      <xdr:rowOff>144047</xdr:rowOff>
    </xdr:from>
    <xdr:ext cx="1875155" cy="843757"/>
    <xdr:sp macro="" textlink="'Pivot table'!AG5">
      <xdr:nvSpPr>
        <xdr:cNvPr id="29" name="TextBox 28">
          <a:extLst>
            <a:ext uri="{FF2B5EF4-FFF2-40B4-BE49-F238E27FC236}">
              <a16:creationId xmlns:a16="http://schemas.microsoft.com/office/drawing/2014/main" id="{52D1266E-39D6-498B-884C-4459828C94BB}"/>
            </a:ext>
          </a:extLst>
        </xdr:cNvPr>
        <xdr:cNvSpPr txBox="1"/>
      </xdr:nvSpPr>
      <xdr:spPr>
        <a:xfrm>
          <a:off x="8269287" y="8526047"/>
          <a:ext cx="1875155" cy="843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0F8CF4D1-00D5-4E58-A1E1-E486690408C7}" type="TxLink">
            <a:rPr lang="en-US" sz="4800" b="0" i="0" u="none" strike="noStrike">
              <a:solidFill>
                <a:srgbClr val="590202"/>
              </a:solidFill>
              <a:latin typeface="Calibri"/>
              <a:ea typeface="Calibri"/>
              <a:cs typeface="Calibri"/>
            </a:rPr>
            <a:pPr marL="0" indent="0" algn="ctr"/>
            <a:t>76</a:t>
          </a:fld>
          <a:endParaRPr lang="en-US" sz="4800" b="0" i="0" u="none" strike="noStrike">
            <a:solidFill>
              <a:srgbClr val="590202"/>
            </a:solidFill>
            <a:latin typeface="Calibri"/>
            <a:ea typeface="Calibri"/>
            <a:cs typeface="Calibri"/>
          </a:endParaRPr>
        </a:p>
      </xdr:txBody>
    </xdr:sp>
    <xdr:clientData/>
  </xdr:oneCellAnchor>
  <xdr:twoCellAnchor editAs="oneCell">
    <xdr:from>
      <xdr:col>10</xdr:col>
      <xdr:colOff>506412</xdr:colOff>
      <xdr:row>41</xdr:row>
      <xdr:rowOff>185189</xdr:rowOff>
    </xdr:from>
    <xdr:to>
      <xdr:col>13</xdr:col>
      <xdr:colOff>507681</xdr:colOff>
      <xdr:row>52</xdr:row>
      <xdr:rowOff>35600</xdr:rowOff>
    </xdr:to>
    <xdr:pic>
      <xdr:nvPicPr>
        <xdr:cNvPr id="31" name="Picture 30">
          <a:extLst>
            <a:ext uri="{FF2B5EF4-FFF2-40B4-BE49-F238E27FC236}">
              <a16:creationId xmlns:a16="http://schemas.microsoft.com/office/drawing/2014/main" id="{D34A309E-626B-AD32-DE21-79DFB1ADF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97662" y="7995689"/>
          <a:ext cx="1858644" cy="1945911"/>
        </a:xfrm>
        <a:prstGeom prst="rect">
          <a:avLst/>
        </a:prstGeom>
      </xdr:spPr>
    </xdr:pic>
    <xdr:clientData/>
  </xdr:twoCellAnchor>
  <xdr:twoCellAnchor>
    <xdr:from>
      <xdr:col>32</xdr:col>
      <xdr:colOff>177511</xdr:colOff>
      <xdr:row>10</xdr:row>
      <xdr:rowOff>87629</xdr:rowOff>
    </xdr:from>
    <xdr:to>
      <xdr:col>41</xdr:col>
      <xdr:colOff>144779</xdr:colOff>
      <xdr:row>50</xdr:row>
      <xdr:rowOff>119062</xdr:rowOff>
    </xdr:to>
    <xdr:graphicFrame macro="">
      <xdr:nvGraphicFramePr>
        <xdr:cNvPr id="30" name="Chart 29">
          <a:extLst>
            <a:ext uri="{FF2B5EF4-FFF2-40B4-BE49-F238E27FC236}">
              <a16:creationId xmlns:a16="http://schemas.microsoft.com/office/drawing/2014/main" id="{1BA6B7E4-05FF-4975-8868-3C0EF2239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250680</xdr:colOff>
      <xdr:row>17</xdr:row>
      <xdr:rowOff>166686</xdr:rowOff>
    </xdr:from>
    <xdr:to>
      <xdr:col>31</xdr:col>
      <xdr:colOff>397192</xdr:colOff>
      <xdr:row>30</xdr:row>
      <xdr:rowOff>69531</xdr:rowOff>
    </xdr:to>
    <xdr:graphicFrame macro="">
      <xdr:nvGraphicFramePr>
        <xdr:cNvPr id="33" name="Chart 32">
          <a:extLst>
            <a:ext uri="{FF2B5EF4-FFF2-40B4-BE49-F238E27FC236}">
              <a16:creationId xmlns:a16="http://schemas.microsoft.com/office/drawing/2014/main" id="{5C3CED2E-21F1-421B-B17C-320F6584AD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170150</xdr:colOff>
      <xdr:row>31</xdr:row>
      <xdr:rowOff>43613</xdr:rowOff>
    </xdr:from>
    <xdr:to>
      <xdr:col>23</xdr:col>
      <xdr:colOff>40014</xdr:colOff>
      <xdr:row>50</xdr:row>
      <xdr:rowOff>120102</xdr:rowOff>
    </xdr:to>
    <xdr:sp macro="" textlink="">
      <xdr:nvSpPr>
        <xdr:cNvPr id="34" name="Rectangle: Rounded Corners 33">
          <a:extLst>
            <a:ext uri="{FF2B5EF4-FFF2-40B4-BE49-F238E27FC236}">
              <a16:creationId xmlns:a16="http://schemas.microsoft.com/office/drawing/2014/main" id="{3DD02BA6-05C0-4221-898B-42155CDB9A05}"/>
            </a:ext>
          </a:extLst>
        </xdr:cNvPr>
        <xdr:cNvSpPr/>
      </xdr:nvSpPr>
      <xdr:spPr>
        <a:xfrm>
          <a:off x="10695275" y="5949113"/>
          <a:ext cx="3584614" cy="3695989"/>
        </a:xfrm>
        <a:prstGeom prst="roundRect">
          <a:avLst/>
        </a:prstGeom>
        <a:solidFill>
          <a:schemeClr val="bg1"/>
        </a:solidFill>
        <a:ln>
          <a:noFill/>
        </a:ln>
        <a:effectLst>
          <a:outerShdw blurRad="63500" sx="102000" sy="102000" algn="ctr" rotWithShape="0">
            <a:prstClr val="black">
              <a:alpha val="2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296920</xdr:colOff>
      <xdr:row>40</xdr:row>
      <xdr:rowOff>158722</xdr:rowOff>
    </xdr:from>
    <xdr:to>
      <xdr:col>23</xdr:col>
      <xdr:colOff>13171</xdr:colOff>
      <xdr:row>40</xdr:row>
      <xdr:rowOff>158924</xdr:rowOff>
    </xdr:to>
    <xdr:cxnSp macro="">
      <xdr:nvCxnSpPr>
        <xdr:cNvPr id="36" name="Straight Connector 35">
          <a:extLst>
            <a:ext uri="{FF2B5EF4-FFF2-40B4-BE49-F238E27FC236}">
              <a16:creationId xmlns:a16="http://schemas.microsoft.com/office/drawing/2014/main" id="{801717B4-CC39-D670-90E7-3E4269A5B310}"/>
            </a:ext>
          </a:extLst>
        </xdr:cNvPr>
        <xdr:cNvCxnSpPr/>
      </xdr:nvCxnSpPr>
      <xdr:spPr>
        <a:xfrm>
          <a:off x="10822045" y="7778722"/>
          <a:ext cx="3431001" cy="202"/>
        </a:xfrm>
        <a:prstGeom prst="line">
          <a:avLst/>
        </a:prstGeom>
        <a:ln w="34925">
          <a:solidFill>
            <a:srgbClr val="8A96A6"/>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553142</xdr:colOff>
      <xdr:row>31</xdr:row>
      <xdr:rowOff>73919</xdr:rowOff>
    </xdr:from>
    <xdr:ext cx="4020184" cy="687176"/>
    <xdr:sp macro="" textlink="">
      <xdr:nvSpPr>
        <xdr:cNvPr id="38" name="TextBox 37">
          <a:extLst>
            <a:ext uri="{FF2B5EF4-FFF2-40B4-BE49-F238E27FC236}">
              <a16:creationId xmlns:a16="http://schemas.microsoft.com/office/drawing/2014/main" id="{2F7E6D87-5C1B-4EF2-BC6A-7E1349999271}"/>
            </a:ext>
          </a:extLst>
        </xdr:cNvPr>
        <xdr:cNvSpPr txBox="1"/>
      </xdr:nvSpPr>
      <xdr:spPr>
        <a:xfrm>
          <a:off x="10322373" y="5398150"/>
          <a:ext cx="4020184" cy="687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3800" b="1">
              <a:solidFill>
                <a:srgbClr val="590202"/>
              </a:solidFill>
            </a:rPr>
            <a:t>  Best Color sold </a:t>
          </a:r>
        </a:p>
      </xdr:txBody>
    </xdr:sp>
    <xdr:clientData/>
  </xdr:oneCellAnchor>
  <xdr:oneCellAnchor>
    <xdr:from>
      <xdr:col>16</xdr:col>
      <xdr:colOff>518679</xdr:colOff>
      <xdr:row>41</xdr:row>
      <xdr:rowOff>120101</xdr:rowOff>
    </xdr:from>
    <xdr:ext cx="4020184" cy="585865"/>
    <xdr:sp macro="" textlink="">
      <xdr:nvSpPr>
        <xdr:cNvPr id="40" name="TextBox 39">
          <a:extLst>
            <a:ext uri="{FF2B5EF4-FFF2-40B4-BE49-F238E27FC236}">
              <a16:creationId xmlns:a16="http://schemas.microsoft.com/office/drawing/2014/main" id="{8B74DBA2-67B5-491F-A726-AE8329B523B1}"/>
            </a:ext>
          </a:extLst>
        </xdr:cNvPr>
        <xdr:cNvSpPr txBox="1"/>
      </xdr:nvSpPr>
      <xdr:spPr>
        <a:xfrm>
          <a:off x="10424679" y="7930601"/>
          <a:ext cx="4020184" cy="5858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4000" b="1">
              <a:solidFill>
                <a:srgbClr val="590202"/>
              </a:solidFill>
            </a:rPr>
            <a:t>Best  Saller</a:t>
          </a:r>
        </a:p>
      </xdr:txBody>
    </xdr:sp>
    <xdr:clientData/>
  </xdr:oneCellAnchor>
  <xdr:oneCellAnchor>
    <xdr:from>
      <xdr:col>16</xdr:col>
      <xdr:colOff>583016</xdr:colOff>
      <xdr:row>34</xdr:row>
      <xdr:rowOff>73918</xdr:rowOff>
    </xdr:from>
    <xdr:ext cx="4020184" cy="904299"/>
    <xdr:sp macro="" textlink="'Pivot table'!AC20">
      <xdr:nvSpPr>
        <xdr:cNvPr id="41" name="TextBox 40">
          <a:extLst>
            <a:ext uri="{FF2B5EF4-FFF2-40B4-BE49-F238E27FC236}">
              <a16:creationId xmlns:a16="http://schemas.microsoft.com/office/drawing/2014/main" id="{EDDB84AD-97B3-4E1A-A7FB-575A2156EC18}"/>
            </a:ext>
          </a:extLst>
        </xdr:cNvPr>
        <xdr:cNvSpPr txBox="1"/>
      </xdr:nvSpPr>
      <xdr:spPr>
        <a:xfrm>
          <a:off x="10489016" y="6550918"/>
          <a:ext cx="4020184" cy="9042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897FA81A-E7B0-4222-A913-0047C00DF9F2}" type="TxLink">
            <a:rPr lang="ar-EG" sz="4800" b="0" i="0" u="none" strike="noStrike">
              <a:solidFill>
                <a:srgbClr val="590202"/>
              </a:solidFill>
              <a:latin typeface="Calibri"/>
              <a:ea typeface="Calibri"/>
              <a:cs typeface="Calibri"/>
            </a:rPr>
            <a:pPr marL="0" indent="0" algn="ctr"/>
            <a:t>اسود</a:t>
          </a:fld>
          <a:endParaRPr lang="en-US" sz="4800" b="0" i="0" u="none" strike="noStrike">
            <a:solidFill>
              <a:srgbClr val="590202"/>
            </a:solidFill>
            <a:latin typeface="Calibri"/>
            <a:ea typeface="Calibri"/>
            <a:cs typeface="Calibri"/>
          </a:endParaRPr>
        </a:p>
      </xdr:txBody>
    </xdr:sp>
    <xdr:clientData/>
  </xdr:oneCellAnchor>
  <xdr:oneCellAnchor>
    <xdr:from>
      <xdr:col>16</xdr:col>
      <xdr:colOff>583016</xdr:colOff>
      <xdr:row>44</xdr:row>
      <xdr:rowOff>158951</xdr:rowOff>
    </xdr:from>
    <xdr:ext cx="4020184" cy="879187"/>
    <xdr:sp macro="" textlink="'Pivot table'!AC5">
      <xdr:nvSpPr>
        <xdr:cNvPr id="42" name="TextBox 41">
          <a:extLst>
            <a:ext uri="{FF2B5EF4-FFF2-40B4-BE49-F238E27FC236}">
              <a16:creationId xmlns:a16="http://schemas.microsoft.com/office/drawing/2014/main" id="{BFC1657F-4101-45EF-B472-707F0FCB218D}"/>
            </a:ext>
          </a:extLst>
        </xdr:cNvPr>
        <xdr:cNvSpPr txBox="1"/>
      </xdr:nvSpPr>
      <xdr:spPr>
        <a:xfrm>
          <a:off x="10489016" y="8540951"/>
          <a:ext cx="4020184" cy="8791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DEBBE783-02CA-4D86-AFBD-E4CDFA337DE7}" type="TxLink">
            <a:rPr lang="ar-EG" sz="4800" b="0" i="0" u="none" strike="noStrike">
              <a:solidFill>
                <a:srgbClr val="590202"/>
              </a:solidFill>
              <a:latin typeface="Calibri"/>
              <a:ea typeface="Calibri"/>
              <a:cs typeface="Calibri"/>
            </a:rPr>
            <a:pPr marL="0" indent="0" algn="ctr"/>
            <a:t>سرير</a:t>
          </a:fld>
          <a:endParaRPr lang="en-US" sz="4800" b="0" i="0" u="none" strike="noStrike">
            <a:solidFill>
              <a:srgbClr val="590202"/>
            </a:solidFill>
            <a:latin typeface="Calibri"/>
            <a:ea typeface="Calibri"/>
            <a:cs typeface="Calibri"/>
          </a:endParaRPr>
        </a:p>
      </xdr:txBody>
    </xdr:sp>
    <xdr:clientData/>
  </xdr:oneCellAnchor>
  <xdr:twoCellAnchor>
    <xdr:from>
      <xdr:col>10</xdr:col>
      <xdr:colOff>127845</xdr:colOff>
      <xdr:row>5</xdr:row>
      <xdr:rowOff>138604</xdr:rowOff>
    </xdr:from>
    <xdr:to>
      <xdr:col>16</xdr:col>
      <xdr:colOff>545782</xdr:colOff>
      <xdr:row>15</xdr:row>
      <xdr:rowOff>63039</xdr:rowOff>
    </xdr:to>
    <xdr:sp macro="" textlink="">
      <xdr:nvSpPr>
        <xdr:cNvPr id="43" name="Rectangle: Rounded Corners 42">
          <a:extLst>
            <a:ext uri="{FF2B5EF4-FFF2-40B4-BE49-F238E27FC236}">
              <a16:creationId xmlns:a16="http://schemas.microsoft.com/office/drawing/2014/main" id="{415FDD34-C5FE-4A4A-B9AC-7C7F668C28FB}"/>
            </a:ext>
          </a:extLst>
        </xdr:cNvPr>
        <xdr:cNvSpPr/>
      </xdr:nvSpPr>
      <xdr:spPr>
        <a:xfrm>
          <a:off x="6319095" y="1091104"/>
          <a:ext cx="4132687" cy="1829435"/>
        </a:xfrm>
        <a:prstGeom prst="roundRect">
          <a:avLst/>
        </a:prstGeom>
        <a:solidFill>
          <a:schemeClr val="bg1"/>
        </a:solidFill>
        <a:ln>
          <a:noFill/>
        </a:ln>
        <a:effectLst>
          <a:outerShdw blurRad="63500" sx="102000" sy="102000" algn="ctr" rotWithShape="0">
            <a:prstClr val="black">
              <a:alpha val="2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9</xdr:col>
      <xdr:colOff>469581</xdr:colOff>
      <xdr:row>9</xdr:row>
      <xdr:rowOff>25371</xdr:rowOff>
    </xdr:from>
    <xdr:ext cx="4923472" cy="1162685"/>
    <xdr:sp macro="" textlink="'Pivot table'!D3">
      <xdr:nvSpPr>
        <xdr:cNvPr id="2" name="TextBox 1">
          <a:extLst>
            <a:ext uri="{FF2B5EF4-FFF2-40B4-BE49-F238E27FC236}">
              <a16:creationId xmlns:a16="http://schemas.microsoft.com/office/drawing/2014/main" id="{02E3C75B-9587-4D9E-A368-DD284B0468E9}"/>
            </a:ext>
          </a:extLst>
        </xdr:cNvPr>
        <xdr:cNvSpPr txBox="1"/>
      </xdr:nvSpPr>
      <xdr:spPr>
        <a:xfrm>
          <a:off x="6041706" y="1739871"/>
          <a:ext cx="4923472" cy="11626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0D2577CC-8DC0-429D-BB25-2631D53FBA9B}" type="TxLink">
            <a:rPr lang="en-US" sz="4800" b="1" i="0" u="none" strike="noStrike">
              <a:solidFill>
                <a:srgbClr val="590202"/>
              </a:solidFill>
              <a:latin typeface="Calibri"/>
              <a:ea typeface="Calibri"/>
              <a:cs typeface="Calibri"/>
            </a:rPr>
            <a:pPr algn="ctr"/>
            <a:t> 1,023,125 </a:t>
          </a:fld>
          <a:endParaRPr lang="en-US" sz="4800" b="1">
            <a:solidFill>
              <a:srgbClr val="590202"/>
            </a:solidFill>
          </a:endParaRPr>
        </a:p>
      </xdr:txBody>
    </xdr:sp>
    <xdr:clientData/>
  </xdr:oneCellAnchor>
  <xdr:oneCellAnchor>
    <xdr:from>
      <xdr:col>10</xdr:col>
      <xdr:colOff>162877</xdr:colOff>
      <xdr:row>6</xdr:row>
      <xdr:rowOff>6955</xdr:rowOff>
    </xdr:from>
    <xdr:ext cx="4115752" cy="629565"/>
    <xdr:sp macro="" textlink="">
      <xdr:nvSpPr>
        <xdr:cNvPr id="18" name="TextBox 17">
          <a:extLst>
            <a:ext uri="{FF2B5EF4-FFF2-40B4-BE49-F238E27FC236}">
              <a16:creationId xmlns:a16="http://schemas.microsoft.com/office/drawing/2014/main" id="{7F9963B9-592B-63E3-77C4-4D04ACD4AEEF}"/>
            </a:ext>
          </a:extLst>
        </xdr:cNvPr>
        <xdr:cNvSpPr txBox="1"/>
      </xdr:nvSpPr>
      <xdr:spPr>
        <a:xfrm>
          <a:off x="6354127" y="1149955"/>
          <a:ext cx="4115752" cy="6295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4000" b="1">
              <a:solidFill>
                <a:srgbClr val="590202"/>
              </a:solidFill>
            </a:rPr>
            <a:t>Total sales</a:t>
          </a:r>
        </a:p>
      </xdr:txBody>
    </xdr:sp>
    <xdr:clientData/>
  </xdr:oneCellAnchor>
  <xdr:twoCellAnchor editAs="oneCell">
    <xdr:from>
      <xdr:col>23</xdr:col>
      <xdr:colOff>74728</xdr:colOff>
      <xdr:row>5</xdr:row>
      <xdr:rowOff>88510</xdr:rowOff>
    </xdr:from>
    <xdr:to>
      <xdr:col>25</xdr:col>
      <xdr:colOff>510541</xdr:colOff>
      <xdr:row>14</xdr:row>
      <xdr:rowOff>182329</xdr:rowOff>
    </xdr:to>
    <xdr:pic>
      <xdr:nvPicPr>
        <xdr:cNvPr id="6" name="Picture 5">
          <a:hlinkClick xmlns:r="http://schemas.openxmlformats.org/officeDocument/2006/relationships" r:id="rId5"/>
          <a:extLst>
            <a:ext uri="{FF2B5EF4-FFF2-40B4-BE49-F238E27FC236}">
              <a16:creationId xmlns:a16="http://schemas.microsoft.com/office/drawing/2014/main" id="{A9EC7683-486B-189C-7289-986DA9931EA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4314603" y="1041010"/>
          <a:ext cx="1674063" cy="1808319"/>
        </a:xfrm>
        <a:prstGeom prst="ellipse">
          <a:avLst/>
        </a:prstGeom>
        <a:noFill/>
        <a:ln w="63500" cap="rnd">
          <a:noFill/>
        </a:ln>
        <a:effectLst>
          <a:outerShdw blurRad="50800" dist="38100" dir="8100000" algn="tr" rotWithShape="0">
            <a:prstClr val="black">
              <a:alpha val="40000"/>
            </a:prstClr>
          </a:outerShdw>
        </a:effectLst>
        <a:scene3d>
          <a:camera prst="orthographicFront"/>
          <a:lightRig rig="contrasting" dir="t">
            <a:rot lat="0" lon="0" rev="3000000"/>
          </a:lightRig>
        </a:scene3d>
        <a:sp3d contourW="7620">
          <a:contourClr>
            <a:srgbClr val="333333"/>
          </a:contourClr>
        </a:sp3d>
      </xdr:spPr>
    </xdr:pic>
    <xdr:clientData/>
  </xdr:twoCellAnchor>
  <xdr:twoCellAnchor>
    <xdr:from>
      <xdr:col>18</xdr:col>
      <xdr:colOff>49529</xdr:colOff>
      <xdr:row>5</xdr:row>
      <xdr:rowOff>46259</xdr:rowOff>
    </xdr:from>
    <xdr:to>
      <xdr:col>21</xdr:col>
      <xdr:colOff>315487</xdr:colOff>
      <xdr:row>14</xdr:row>
      <xdr:rowOff>163099</xdr:rowOff>
    </xdr:to>
    <xdr:sp macro="" textlink="">
      <xdr:nvSpPr>
        <xdr:cNvPr id="8" name="Rectangle: Rounded Corners 7">
          <a:extLst>
            <a:ext uri="{FF2B5EF4-FFF2-40B4-BE49-F238E27FC236}">
              <a16:creationId xmlns:a16="http://schemas.microsoft.com/office/drawing/2014/main" id="{813D8EE5-F718-424C-A310-85BB7328811B}"/>
            </a:ext>
          </a:extLst>
        </xdr:cNvPr>
        <xdr:cNvSpPr/>
      </xdr:nvSpPr>
      <xdr:spPr>
        <a:xfrm>
          <a:off x="11193779" y="998759"/>
          <a:ext cx="2123333" cy="1831340"/>
        </a:xfrm>
        <a:prstGeom prst="roundRect">
          <a:avLst/>
        </a:prstGeom>
        <a:solidFill>
          <a:schemeClr val="bg1"/>
        </a:solidFill>
        <a:ln>
          <a:noFill/>
        </a:ln>
        <a:effectLst>
          <a:outerShdw blurRad="63500" sx="102000" sy="102000" algn="ctr" rotWithShape="0">
            <a:prstClr val="black">
              <a:alpha val="2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27</xdr:col>
      <xdr:colOff>384809</xdr:colOff>
      <xdr:row>5</xdr:row>
      <xdr:rowOff>26256</xdr:rowOff>
    </xdr:from>
    <xdr:to>
      <xdr:col>31</xdr:col>
      <xdr:colOff>39262</xdr:colOff>
      <xdr:row>14</xdr:row>
      <xdr:rowOff>137381</xdr:rowOff>
    </xdr:to>
    <xdr:sp macro="" textlink="">
      <xdr:nvSpPr>
        <xdr:cNvPr id="11" name="Rectangle: Rounded Corners 10">
          <a:extLst>
            <a:ext uri="{FF2B5EF4-FFF2-40B4-BE49-F238E27FC236}">
              <a16:creationId xmlns:a16="http://schemas.microsoft.com/office/drawing/2014/main" id="{A841EA72-7260-4247-8359-C4673B3C8E6A}"/>
            </a:ext>
          </a:extLst>
        </xdr:cNvPr>
        <xdr:cNvSpPr/>
      </xdr:nvSpPr>
      <xdr:spPr>
        <a:xfrm>
          <a:off x="17101184" y="978756"/>
          <a:ext cx="2130953" cy="1825625"/>
        </a:xfrm>
        <a:prstGeom prst="roundRect">
          <a:avLst/>
        </a:prstGeom>
        <a:solidFill>
          <a:schemeClr val="bg1"/>
        </a:solidFill>
        <a:ln>
          <a:noFill/>
        </a:ln>
        <a:effectLst>
          <a:outerShdw blurRad="63500" sx="102000" sy="102000" algn="ctr" rotWithShape="0">
            <a:prstClr val="black">
              <a:alpha val="2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16</xdr:col>
      <xdr:colOff>318135</xdr:colOff>
      <xdr:row>7</xdr:row>
      <xdr:rowOff>97156</xdr:rowOff>
    </xdr:from>
    <xdr:ext cx="4115752" cy="1884997"/>
    <xdr:sp macro="" textlink="'Pivot table'!AW11">
      <xdr:nvSpPr>
        <xdr:cNvPr id="15" name="TextBox 14">
          <a:extLst>
            <a:ext uri="{FF2B5EF4-FFF2-40B4-BE49-F238E27FC236}">
              <a16:creationId xmlns:a16="http://schemas.microsoft.com/office/drawing/2014/main" id="{B794B71B-5BC2-4A00-BA3E-0CB065ADFAB3}"/>
            </a:ext>
          </a:extLst>
        </xdr:cNvPr>
        <xdr:cNvSpPr txBox="1"/>
      </xdr:nvSpPr>
      <xdr:spPr>
        <a:xfrm>
          <a:off x="10224135" y="1430656"/>
          <a:ext cx="4115752" cy="18849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8A53AC6A-A9AF-4170-B316-4CC1B2E18155}" type="TxLink">
            <a:rPr lang="en-US" sz="5400" b="0" i="0" u="none" strike="noStrike">
              <a:solidFill>
                <a:srgbClr val="A60311"/>
              </a:solidFill>
              <a:latin typeface="Calibri"/>
              <a:ea typeface="Calibri"/>
              <a:cs typeface="Calibri"/>
            </a:rPr>
            <a:pPr marL="0" indent="0" algn="ctr"/>
            <a:t>101</a:t>
          </a:fld>
          <a:endParaRPr lang="en-US" sz="5400" b="0" i="0" u="none" strike="noStrike">
            <a:solidFill>
              <a:srgbClr val="A60311"/>
            </a:solidFill>
            <a:latin typeface="Calibri"/>
            <a:ea typeface="Calibri"/>
            <a:cs typeface="Calibri"/>
          </a:endParaRPr>
        </a:p>
      </xdr:txBody>
    </xdr:sp>
    <xdr:clientData/>
  </xdr:oneCellAnchor>
  <xdr:oneCellAnchor>
    <xdr:from>
      <xdr:col>28</xdr:col>
      <xdr:colOff>1904</xdr:colOff>
      <xdr:row>9</xdr:row>
      <xdr:rowOff>63817</xdr:rowOff>
    </xdr:from>
    <xdr:ext cx="1622108" cy="908685"/>
    <xdr:sp macro="" textlink="'Pivot table'!AW12">
      <xdr:nvSpPr>
        <xdr:cNvPr id="17" name="TextBox 16">
          <a:extLst>
            <a:ext uri="{FF2B5EF4-FFF2-40B4-BE49-F238E27FC236}">
              <a16:creationId xmlns:a16="http://schemas.microsoft.com/office/drawing/2014/main" id="{CDFD26DF-35EE-4D9D-9112-4D0E8B0FA043}"/>
            </a:ext>
          </a:extLst>
        </xdr:cNvPr>
        <xdr:cNvSpPr txBox="1"/>
      </xdr:nvSpPr>
      <xdr:spPr>
        <a:xfrm>
          <a:off x="17337404" y="1778317"/>
          <a:ext cx="1622108" cy="9086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F78D7A3D-39CA-45F6-8877-1794F1C51F14}" type="TxLink">
            <a:rPr lang="en-US" sz="7200" b="0" i="0" u="none" strike="noStrike">
              <a:solidFill>
                <a:srgbClr val="8A96A6"/>
              </a:solidFill>
              <a:latin typeface="Calibri"/>
              <a:ea typeface="Calibri"/>
              <a:cs typeface="Calibri"/>
            </a:rPr>
            <a:pPr marL="0" indent="0" algn="ctr"/>
            <a:t>20</a:t>
          </a:fld>
          <a:endParaRPr lang="en-US" sz="7200" b="0" i="0" u="none" strike="noStrike">
            <a:solidFill>
              <a:srgbClr val="8A96A6"/>
            </a:solidFill>
            <a:latin typeface="Calibri"/>
            <a:ea typeface="Calibri"/>
            <a:cs typeface="Calibri"/>
          </a:endParaRPr>
        </a:p>
      </xdr:txBody>
    </xdr:sp>
    <xdr:clientData/>
  </xdr:oneCellAnchor>
  <xdr:oneCellAnchor>
    <xdr:from>
      <xdr:col>17</xdr:col>
      <xdr:colOff>474344</xdr:colOff>
      <xdr:row>5</xdr:row>
      <xdr:rowOff>155546</xdr:rowOff>
    </xdr:from>
    <xdr:ext cx="2403158" cy="629565"/>
    <xdr:sp macro="" textlink="">
      <xdr:nvSpPr>
        <xdr:cNvPr id="22" name="TextBox 21">
          <a:extLst>
            <a:ext uri="{FF2B5EF4-FFF2-40B4-BE49-F238E27FC236}">
              <a16:creationId xmlns:a16="http://schemas.microsoft.com/office/drawing/2014/main" id="{918CD8DF-4A32-41C7-879F-B6B534B65427}"/>
            </a:ext>
          </a:extLst>
        </xdr:cNvPr>
        <xdr:cNvSpPr txBox="1"/>
      </xdr:nvSpPr>
      <xdr:spPr>
        <a:xfrm>
          <a:off x="10999469" y="1108046"/>
          <a:ext cx="2403158" cy="6295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3600" b="1">
              <a:solidFill>
                <a:srgbClr val="590202"/>
              </a:solidFill>
              <a:latin typeface="+mn-lt"/>
              <a:ea typeface="+mn-ea"/>
              <a:cs typeface="+mn-cs"/>
            </a:rPr>
            <a:t>Delivered</a:t>
          </a:r>
          <a:endParaRPr lang="en-US" sz="4000" b="1">
            <a:solidFill>
              <a:srgbClr val="590202"/>
            </a:solidFill>
            <a:latin typeface="+mn-lt"/>
            <a:ea typeface="+mn-ea"/>
            <a:cs typeface="+mn-cs"/>
          </a:endParaRPr>
        </a:p>
      </xdr:txBody>
    </xdr:sp>
    <xdr:clientData/>
  </xdr:oneCellAnchor>
  <xdr:oneCellAnchor>
    <xdr:from>
      <xdr:col>27</xdr:col>
      <xdr:colOff>208596</xdr:colOff>
      <xdr:row>5</xdr:row>
      <xdr:rowOff>155546</xdr:rowOff>
    </xdr:from>
    <xdr:ext cx="2403158" cy="629565"/>
    <xdr:sp macro="" textlink="">
      <xdr:nvSpPr>
        <xdr:cNvPr id="24" name="TextBox 23">
          <a:extLst>
            <a:ext uri="{FF2B5EF4-FFF2-40B4-BE49-F238E27FC236}">
              <a16:creationId xmlns:a16="http://schemas.microsoft.com/office/drawing/2014/main" id="{BCB166F9-CC39-48A0-9C29-DEBF28A44227}"/>
            </a:ext>
          </a:extLst>
        </xdr:cNvPr>
        <xdr:cNvSpPr txBox="1"/>
      </xdr:nvSpPr>
      <xdr:spPr>
        <a:xfrm>
          <a:off x="16924971" y="1108046"/>
          <a:ext cx="2403158" cy="6295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4000" b="1">
              <a:solidFill>
                <a:srgbClr val="590202"/>
              </a:solidFill>
              <a:latin typeface="+mn-lt"/>
              <a:ea typeface="+mn-ea"/>
              <a:cs typeface="+mn-cs"/>
            </a:rPr>
            <a:t>Failures</a:t>
          </a:r>
        </a:p>
      </xdr:txBody>
    </xdr:sp>
    <xdr:clientData/>
  </xdr:oneCellAnchor>
  <xdr:twoCellAnchor>
    <xdr:from>
      <xdr:col>3</xdr:col>
      <xdr:colOff>364806</xdr:colOff>
      <xdr:row>5</xdr:row>
      <xdr:rowOff>117159</xdr:rowOff>
    </xdr:from>
    <xdr:to>
      <xdr:col>9</xdr:col>
      <xdr:colOff>404811</xdr:colOff>
      <xdr:row>50</xdr:row>
      <xdr:rowOff>155252</xdr:rowOff>
    </xdr:to>
    <xdr:sp macro="" textlink="">
      <xdr:nvSpPr>
        <xdr:cNvPr id="19" name="Rectangle: Rounded Corners 18">
          <a:extLst>
            <a:ext uri="{FF2B5EF4-FFF2-40B4-BE49-F238E27FC236}">
              <a16:creationId xmlns:a16="http://schemas.microsoft.com/office/drawing/2014/main" id="{85330918-CABF-4174-9AFC-141D4E412453}"/>
            </a:ext>
          </a:extLst>
        </xdr:cNvPr>
        <xdr:cNvSpPr/>
      </xdr:nvSpPr>
      <xdr:spPr>
        <a:xfrm>
          <a:off x="2222181" y="1069659"/>
          <a:ext cx="3754755" cy="8610593"/>
        </a:xfrm>
        <a:prstGeom prst="roundRect">
          <a:avLst/>
        </a:prstGeom>
        <a:solidFill>
          <a:schemeClr val="bg1"/>
        </a:solidFill>
        <a:ln>
          <a:noFill/>
        </a:ln>
        <a:effectLst>
          <a:outerShdw blurRad="63500" sx="102000" sy="102000" algn="ctr" rotWithShape="0">
            <a:prstClr val="black">
              <a:alpha val="2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360998</xdr:colOff>
      <xdr:row>17</xdr:row>
      <xdr:rowOff>1906</xdr:rowOff>
    </xdr:from>
    <xdr:to>
      <xdr:col>9</xdr:col>
      <xdr:colOff>60008</xdr:colOff>
      <xdr:row>25</xdr:row>
      <xdr:rowOff>168593</xdr:rowOff>
    </xdr:to>
    <xdr:sp macro="" textlink="">
      <xdr:nvSpPr>
        <xdr:cNvPr id="37" name="Arrow: Right 36">
          <a:hlinkClick xmlns:r="http://schemas.openxmlformats.org/officeDocument/2006/relationships" r:id="rId7"/>
          <a:extLst>
            <a:ext uri="{FF2B5EF4-FFF2-40B4-BE49-F238E27FC236}">
              <a16:creationId xmlns:a16="http://schemas.microsoft.com/office/drawing/2014/main" id="{6403B8BF-E87E-4FD4-8792-1FB4B69F77B7}"/>
            </a:ext>
          </a:extLst>
        </xdr:cNvPr>
        <xdr:cNvSpPr/>
      </xdr:nvSpPr>
      <xdr:spPr>
        <a:xfrm>
          <a:off x="2218373" y="3240406"/>
          <a:ext cx="3413760" cy="1690687"/>
        </a:xfrm>
        <a:prstGeom prst="rightArrow">
          <a:avLst/>
        </a:prstGeom>
        <a:solidFill>
          <a:srgbClr val="8A96A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487680</xdr:colOff>
      <xdr:row>9</xdr:row>
      <xdr:rowOff>162877</xdr:rowOff>
    </xdr:from>
    <xdr:ext cx="3230880" cy="864870"/>
    <xdr:sp macro="" textlink="">
      <xdr:nvSpPr>
        <xdr:cNvPr id="44" name="TextBox 43">
          <a:extLst>
            <a:ext uri="{FF2B5EF4-FFF2-40B4-BE49-F238E27FC236}">
              <a16:creationId xmlns:a16="http://schemas.microsoft.com/office/drawing/2014/main" id="{9862C9F9-9C3E-8291-8021-B47A312EB039}"/>
            </a:ext>
          </a:extLst>
        </xdr:cNvPr>
        <xdr:cNvSpPr txBox="1"/>
      </xdr:nvSpPr>
      <xdr:spPr>
        <a:xfrm>
          <a:off x="2345055" y="1877377"/>
          <a:ext cx="3230880" cy="8648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3600" b="1">
              <a:solidFill>
                <a:srgbClr val="590202"/>
              </a:solidFill>
            </a:rPr>
            <a:t>Sales Overview</a:t>
          </a:r>
        </a:p>
      </xdr:txBody>
    </xdr:sp>
    <xdr:clientData/>
  </xdr:oneCellAnchor>
  <xdr:oneCellAnchor>
    <xdr:from>
      <xdr:col>3</xdr:col>
      <xdr:colOff>335280</xdr:colOff>
      <xdr:row>20</xdr:row>
      <xdr:rowOff>67627</xdr:rowOff>
    </xdr:from>
    <xdr:ext cx="3522345" cy="694374"/>
    <xdr:sp macro="" textlink="">
      <xdr:nvSpPr>
        <xdr:cNvPr id="45" name="TextBox 44">
          <a:hlinkClick xmlns:r="http://schemas.openxmlformats.org/officeDocument/2006/relationships" r:id="rId7"/>
          <a:extLst>
            <a:ext uri="{FF2B5EF4-FFF2-40B4-BE49-F238E27FC236}">
              <a16:creationId xmlns:a16="http://schemas.microsoft.com/office/drawing/2014/main" id="{21B4B6F4-063A-4C9D-8F8A-545950895CBB}"/>
            </a:ext>
          </a:extLst>
        </xdr:cNvPr>
        <xdr:cNvSpPr txBox="1"/>
      </xdr:nvSpPr>
      <xdr:spPr>
        <a:xfrm>
          <a:off x="2192655" y="3877627"/>
          <a:ext cx="3522345" cy="694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0">
              <a:solidFill>
                <a:srgbClr val="590202"/>
              </a:solidFill>
            </a:rPr>
            <a:t>Daily Sales Performance</a:t>
          </a:r>
        </a:p>
      </xdr:txBody>
    </xdr:sp>
    <xdr:clientData/>
  </xdr:oneCellAnchor>
  <xdr:twoCellAnchor>
    <xdr:from>
      <xdr:col>23</xdr:col>
      <xdr:colOff>210503</xdr:colOff>
      <xdr:row>35</xdr:row>
      <xdr:rowOff>124779</xdr:rowOff>
    </xdr:from>
    <xdr:to>
      <xdr:col>31</xdr:col>
      <xdr:colOff>258127</xdr:colOff>
      <xdr:row>52</xdr:row>
      <xdr:rowOff>47625</xdr:rowOff>
    </xdr:to>
    <xdr:graphicFrame macro="">
      <xdr:nvGraphicFramePr>
        <xdr:cNvPr id="46" name="Chart 45">
          <a:extLst>
            <a:ext uri="{FF2B5EF4-FFF2-40B4-BE49-F238E27FC236}">
              <a16:creationId xmlns:a16="http://schemas.microsoft.com/office/drawing/2014/main" id="{04307893-73DC-4149-B876-ECCB85B1B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472442</xdr:colOff>
      <xdr:row>26</xdr:row>
      <xdr:rowOff>60007</xdr:rowOff>
    </xdr:from>
    <xdr:to>
      <xdr:col>9</xdr:col>
      <xdr:colOff>240031</xdr:colOff>
      <xdr:row>38</xdr:row>
      <xdr:rowOff>71437</xdr:rowOff>
    </xdr:to>
    <mc:AlternateContent xmlns:mc="http://schemas.openxmlformats.org/markup-compatibility/2006" xmlns:a14="http://schemas.microsoft.com/office/drawing/2010/main">
      <mc:Choice Requires="a14">
        <xdr:graphicFrame macro="">
          <xdr:nvGraphicFramePr>
            <xdr:cNvPr id="35" name="المسئول">
              <a:extLst>
                <a:ext uri="{FF2B5EF4-FFF2-40B4-BE49-F238E27FC236}">
                  <a16:creationId xmlns:a16="http://schemas.microsoft.com/office/drawing/2014/main" id="{56EFD112-C9EE-4A03-A4D7-ECB77273A810}"/>
                </a:ext>
              </a:extLst>
            </xdr:cNvPr>
            <xdr:cNvGraphicFramePr/>
          </xdr:nvGraphicFramePr>
          <xdr:xfrm>
            <a:off x="0" y="0"/>
            <a:ext cx="0" cy="0"/>
          </xdr:xfrm>
          <a:graphic>
            <a:graphicData uri="http://schemas.microsoft.com/office/drawing/2010/slicer">
              <sle:slicer xmlns:sle="http://schemas.microsoft.com/office/drawing/2010/slicer" name="المسئول"/>
            </a:graphicData>
          </a:graphic>
        </xdr:graphicFrame>
      </mc:Choice>
      <mc:Fallback xmlns="">
        <xdr:sp macro="" textlink="">
          <xdr:nvSpPr>
            <xdr:cNvPr id="0" name=""/>
            <xdr:cNvSpPr>
              <a:spLocks noTextEdit="1"/>
            </xdr:cNvSpPr>
          </xdr:nvSpPr>
          <xdr:spPr>
            <a:xfrm>
              <a:off x="2329817" y="5013007"/>
              <a:ext cx="3482339" cy="18611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xdr:from>
          <xdr:col>4</xdr:col>
          <xdr:colOff>220980</xdr:colOff>
          <xdr:row>41</xdr:row>
          <xdr:rowOff>99060</xdr:rowOff>
        </xdr:from>
        <xdr:to>
          <xdr:col>8</xdr:col>
          <xdr:colOff>312420</xdr:colOff>
          <xdr:row>47</xdr:row>
          <xdr:rowOff>121920</xdr:rowOff>
        </xdr:to>
        <xdr:sp macro="" textlink="">
          <xdr:nvSpPr>
            <xdr:cNvPr id="1030" name="Button 6" hidden="1">
              <a:extLst>
                <a:ext uri="{63B3BB69-23CF-44E3-9099-C40C66FF867C}">
                  <a14:compatExt spid="_x0000_s1030"/>
                </a:ext>
                <a:ext uri="{FF2B5EF4-FFF2-40B4-BE49-F238E27FC236}">
                  <a16:creationId xmlns:a16="http://schemas.microsoft.com/office/drawing/2014/main" id="{00000000-0008-0000-0200-000006040000}"/>
                </a:ext>
              </a:extLst>
            </xdr:cNvPr>
            <xdr:cNvSpPr/>
          </xdr:nvSpPr>
          <xdr:spPr bwMode="auto">
            <a:xfrm>
              <a:off x="0" y="0"/>
              <a:ext cx="0" cy="0"/>
            </a:xfrm>
            <a:prstGeom prst="rect">
              <a:avLst/>
            </a:prstGeom>
            <a:noFill/>
            <a:ln w="9525">
              <a:miter lim="800000"/>
              <a:headEnd/>
              <a:tailEnd/>
            </a:ln>
          </xdr:spPr>
          <xdr:txBody>
            <a:bodyPr vertOverflow="clip" wrap="square" lIns="64008" tIns="68580" rIns="64008" bIns="68580" anchor="ctr" upright="1"/>
            <a:lstStyle/>
            <a:p>
              <a:pPr algn="ctr" rtl="0">
                <a:defRPr sz="1000"/>
              </a:pPr>
              <a:r>
                <a:rPr lang="en-US" sz="2800" b="0" i="0" u="none" strike="noStrike" baseline="0">
                  <a:solidFill>
                    <a:srgbClr val="800000"/>
                  </a:solidFill>
                  <a:latin typeface="Calibri"/>
                  <a:ea typeface="Calibri"/>
                  <a:cs typeface="Calibri"/>
                </a:rPr>
                <a:t>Refreash all</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571501</xdr:colOff>
      <xdr:row>4</xdr:row>
      <xdr:rowOff>94211</xdr:rowOff>
    </xdr:from>
    <xdr:to>
      <xdr:col>41</xdr:col>
      <xdr:colOff>248864</xdr:colOff>
      <xdr:row>55</xdr:row>
      <xdr:rowOff>170496</xdr:rowOff>
    </xdr:to>
    <xdr:sp macro="" textlink="">
      <xdr:nvSpPr>
        <xdr:cNvPr id="2" name="Rectangle: Rounded Corners 1">
          <a:extLst>
            <a:ext uri="{FF2B5EF4-FFF2-40B4-BE49-F238E27FC236}">
              <a16:creationId xmlns:a16="http://schemas.microsoft.com/office/drawing/2014/main" id="{302EBECE-87B6-455C-B8A3-1E9560192C62}"/>
            </a:ext>
          </a:extLst>
        </xdr:cNvPr>
        <xdr:cNvSpPr/>
      </xdr:nvSpPr>
      <xdr:spPr>
        <a:xfrm>
          <a:off x="1809751" y="856211"/>
          <a:ext cx="23823238" cy="9791785"/>
        </a:xfrm>
        <a:prstGeom prst="roundRect">
          <a:avLst>
            <a:gd name="adj" fmla="val 6610"/>
          </a:avLst>
        </a:prstGeom>
        <a:solidFill>
          <a:srgbClr val="F2F2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71437</xdr:colOff>
      <xdr:row>0</xdr:row>
      <xdr:rowOff>120968</xdr:rowOff>
    </xdr:from>
    <xdr:ext cx="23713441" cy="730250"/>
    <xdr:sp macro="" textlink="">
      <xdr:nvSpPr>
        <xdr:cNvPr id="3" name="TextBox 2">
          <a:extLst>
            <a:ext uri="{FF2B5EF4-FFF2-40B4-BE49-F238E27FC236}">
              <a16:creationId xmlns:a16="http://schemas.microsoft.com/office/drawing/2014/main" id="{CED31FBD-C782-4ACA-A96E-334788F34CAF}"/>
            </a:ext>
          </a:extLst>
        </xdr:cNvPr>
        <xdr:cNvSpPr txBox="1"/>
      </xdr:nvSpPr>
      <xdr:spPr>
        <a:xfrm>
          <a:off x="1898332" y="122873"/>
          <a:ext cx="23713441" cy="730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4000" b="1" i="0" u="none">
              <a:solidFill>
                <a:srgbClr val="F2F2F0"/>
              </a:solidFill>
              <a:latin typeface="Aptos Narrow" panose="020B0004020202020204" pitchFamily="34" charset="0"/>
            </a:rPr>
            <a:t>MISUO Sales</a:t>
          </a:r>
          <a:r>
            <a:rPr lang="en-US" sz="4000" b="1" i="0" u="none" baseline="0">
              <a:solidFill>
                <a:srgbClr val="F2F2F0"/>
              </a:solidFill>
              <a:latin typeface="Aptos Narrow" panose="020B0004020202020204" pitchFamily="34" charset="0"/>
            </a:rPr>
            <a:t> Dashboard </a:t>
          </a:r>
          <a:endParaRPr lang="en-US" sz="4000" b="1" i="0" u="none">
            <a:solidFill>
              <a:srgbClr val="F2F2F0"/>
            </a:solidFill>
            <a:latin typeface="Aptos Narrow" panose="020B0004020202020204" pitchFamily="34" charset="0"/>
          </a:endParaRPr>
        </a:p>
      </xdr:txBody>
    </xdr:sp>
    <xdr:clientData/>
  </xdr:oneCellAnchor>
  <xdr:twoCellAnchor>
    <xdr:from>
      <xdr:col>10</xdr:col>
      <xdr:colOff>210499</xdr:colOff>
      <xdr:row>32</xdr:row>
      <xdr:rowOff>122116</xdr:rowOff>
    </xdr:from>
    <xdr:to>
      <xdr:col>40</xdr:col>
      <xdr:colOff>333371</xdr:colOff>
      <xdr:row>55</xdr:row>
      <xdr:rowOff>3520</xdr:rowOff>
    </xdr:to>
    <xdr:sp macro="" textlink="">
      <xdr:nvSpPr>
        <xdr:cNvPr id="7" name="Rectangle: Rounded Corners 6">
          <a:extLst>
            <a:ext uri="{FF2B5EF4-FFF2-40B4-BE49-F238E27FC236}">
              <a16:creationId xmlns:a16="http://schemas.microsoft.com/office/drawing/2014/main" id="{EADCDC76-083C-4C62-8630-22071B3F708B}"/>
            </a:ext>
          </a:extLst>
        </xdr:cNvPr>
        <xdr:cNvSpPr/>
      </xdr:nvSpPr>
      <xdr:spPr>
        <a:xfrm>
          <a:off x="6316268" y="5617308"/>
          <a:ext cx="18440180" cy="3813520"/>
        </a:xfrm>
        <a:prstGeom prst="roundRect">
          <a:avLst/>
        </a:prstGeom>
        <a:solidFill>
          <a:schemeClr val="bg1"/>
        </a:solidFill>
        <a:ln>
          <a:noFill/>
        </a:ln>
        <a:effectLst>
          <a:outerShdw blurRad="63500" sx="102000" sy="102000" algn="ctr" rotWithShape="0">
            <a:prstClr val="black">
              <a:alpha val="2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a:solidFill>
              <a:schemeClr val="lt1"/>
            </a:solidFill>
            <a:latin typeface="+mn-lt"/>
            <a:ea typeface="+mn-ea"/>
            <a:cs typeface="+mn-cs"/>
          </a:endParaRPr>
        </a:p>
      </xdr:txBody>
    </xdr:sp>
    <xdr:clientData/>
  </xdr:twoCellAnchor>
  <xdr:twoCellAnchor>
    <xdr:from>
      <xdr:col>31</xdr:col>
      <xdr:colOff>439101</xdr:colOff>
      <xdr:row>5</xdr:row>
      <xdr:rowOff>125101</xdr:rowOff>
    </xdr:from>
    <xdr:to>
      <xdr:col>40</xdr:col>
      <xdr:colOff>243840</xdr:colOff>
      <xdr:row>31</xdr:row>
      <xdr:rowOff>97692</xdr:rowOff>
    </xdr:to>
    <xdr:sp macro="" textlink="">
      <xdr:nvSpPr>
        <xdr:cNvPr id="8" name="Rectangle: Rounded Corners 7">
          <a:extLst>
            <a:ext uri="{FF2B5EF4-FFF2-40B4-BE49-F238E27FC236}">
              <a16:creationId xmlns:a16="http://schemas.microsoft.com/office/drawing/2014/main" id="{50D33982-C9A2-4B25-BD3B-9FD85A3C4723}"/>
            </a:ext>
          </a:extLst>
        </xdr:cNvPr>
        <xdr:cNvSpPr/>
      </xdr:nvSpPr>
      <xdr:spPr>
        <a:xfrm>
          <a:off x="19366986" y="979909"/>
          <a:ext cx="5299931" cy="4442014"/>
        </a:xfrm>
        <a:prstGeom prst="roundRect">
          <a:avLst/>
        </a:prstGeom>
        <a:solidFill>
          <a:schemeClr val="bg1"/>
        </a:solidFill>
        <a:ln>
          <a:noFill/>
        </a:ln>
        <a:effectLst>
          <a:outerShdw blurRad="63500" sx="102000" sy="102000" algn="ctr" rotWithShape="0">
            <a:prstClr val="black">
              <a:alpha val="2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31</xdr:col>
      <xdr:colOff>232408</xdr:colOff>
      <xdr:row>6</xdr:row>
      <xdr:rowOff>50165</xdr:rowOff>
    </xdr:from>
    <xdr:ext cx="5557203" cy="593304"/>
    <xdr:sp macro="" textlink="">
      <xdr:nvSpPr>
        <xdr:cNvPr id="15" name="TextBox 14">
          <a:extLst>
            <a:ext uri="{FF2B5EF4-FFF2-40B4-BE49-F238E27FC236}">
              <a16:creationId xmlns:a16="http://schemas.microsoft.com/office/drawing/2014/main" id="{EE33BA37-7721-4F64-8E27-9805BB5D0DC2}"/>
            </a:ext>
          </a:extLst>
        </xdr:cNvPr>
        <xdr:cNvSpPr txBox="1"/>
      </xdr:nvSpPr>
      <xdr:spPr>
        <a:xfrm>
          <a:off x="19425283" y="1193165"/>
          <a:ext cx="5557203"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r>
            <a:rPr lang="en-US" sz="3200" b="1">
              <a:solidFill>
                <a:srgbClr val="590202"/>
              </a:solidFill>
              <a:latin typeface="+mn-lt"/>
              <a:ea typeface="+mn-ea"/>
              <a:cs typeface="+mn-cs"/>
            </a:rPr>
            <a:t>On-Time vs Late Deliveries</a:t>
          </a:r>
        </a:p>
      </xdr:txBody>
    </xdr:sp>
    <xdr:clientData/>
  </xdr:oneCellAnchor>
  <xdr:twoCellAnchor>
    <xdr:from>
      <xdr:col>31</xdr:col>
      <xdr:colOff>401002</xdr:colOff>
      <xdr:row>9</xdr:row>
      <xdr:rowOff>54299</xdr:rowOff>
    </xdr:from>
    <xdr:to>
      <xdr:col>40</xdr:col>
      <xdr:colOff>56197</xdr:colOff>
      <xdr:row>31</xdr:row>
      <xdr:rowOff>0</xdr:rowOff>
    </xdr:to>
    <xdr:graphicFrame macro="">
      <xdr:nvGraphicFramePr>
        <xdr:cNvPr id="22" name="Chart 21">
          <a:extLst>
            <a:ext uri="{FF2B5EF4-FFF2-40B4-BE49-F238E27FC236}">
              <a16:creationId xmlns:a16="http://schemas.microsoft.com/office/drawing/2014/main" id="{5FA3242F-E2C2-4A2B-B492-83F42405F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127845</xdr:colOff>
      <xdr:row>5</xdr:row>
      <xdr:rowOff>138604</xdr:rowOff>
    </xdr:from>
    <xdr:to>
      <xdr:col>16</xdr:col>
      <xdr:colOff>545782</xdr:colOff>
      <xdr:row>15</xdr:row>
      <xdr:rowOff>63039</xdr:rowOff>
    </xdr:to>
    <xdr:sp macro="" textlink="">
      <xdr:nvSpPr>
        <xdr:cNvPr id="30" name="Rectangle: Rounded Corners 29">
          <a:extLst>
            <a:ext uri="{FF2B5EF4-FFF2-40B4-BE49-F238E27FC236}">
              <a16:creationId xmlns:a16="http://schemas.microsoft.com/office/drawing/2014/main" id="{6345B576-A502-417D-A89A-C759C108622F}"/>
            </a:ext>
          </a:extLst>
        </xdr:cNvPr>
        <xdr:cNvSpPr/>
      </xdr:nvSpPr>
      <xdr:spPr>
        <a:xfrm>
          <a:off x="6227655" y="1039669"/>
          <a:ext cx="4075537" cy="1734185"/>
        </a:xfrm>
        <a:prstGeom prst="roundRect">
          <a:avLst/>
        </a:prstGeom>
        <a:solidFill>
          <a:schemeClr val="bg1"/>
        </a:solidFill>
        <a:ln>
          <a:noFill/>
        </a:ln>
        <a:effectLst>
          <a:outerShdw blurRad="63500" sx="102000" sy="102000" algn="ctr" rotWithShape="0">
            <a:prstClr val="black">
              <a:alpha val="2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9</xdr:col>
      <xdr:colOff>469581</xdr:colOff>
      <xdr:row>9</xdr:row>
      <xdr:rowOff>25371</xdr:rowOff>
    </xdr:from>
    <xdr:ext cx="4923472" cy="1162685"/>
    <xdr:sp macro="" textlink="'Pivot table'!D3">
      <xdr:nvSpPr>
        <xdr:cNvPr id="31" name="TextBox 30">
          <a:extLst>
            <a:ext uri="{FF2B5EF4-FFF2-40B4-BE49-F238E27FC236}">
              <a16:creationId xmlns:a16="http://schemas.microsoft.com/office/drawing/2014/main" id="{6144EAA4-1585-4F44-A644-F6A1BA512F09}"/>
            </a:ext>
          </a:extLst>
        </xdr:cNvPr>
        <xdr:cNvSpPr txBox="1"/>
      </xdr:nvSpPr>
      <xdr:spPr>
        <a:xfrm>
          <a:off x="5959791" y="1650336"/>
          <a:ext cx="4923472" cy="11626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0D2577CC-8DC0-429D-BB25-2631D53FBA9B}" type="TxLink">
            <a:rPr lang="en-US" sz="4800" b="1" i="0" u="none" strike="noStrike">
              <a:solidFill>
                <a:srgbClr val="590202"/>
              </a:solidFill>
              <a:latin typeface="Calibri"/>
              <a:ea typeface="Calibri"/>
              <a:cs typeface="Calibri"/>
            </a:rPr>
            <a:pPr algn="ctr"/>
            <a:t> 1,023,125 </a:t>
          </a:fld>
          <a:endParaRPr lang="en-US" sz="4800" b="1">
            <a:solidFill>
              <a:srgbClr val="590202"/>
            </a:solidFill>
          </a:endParaRPr>
        </a:p>
      </xdr:txBody>
    </xdr:sp>
    <xdr:clientData/>
  </xdr:oneCellAnchor>
  <xdr:oneCellAnchor>
    <xdr:from>
      <xdr:col>10</xdr:col>
      <xdr:colOff>162877</xdr:colOff>
      <xdr:row>6</xdr:row>
      <xdr:rowOff>6955</xdr:rowOff>
    </xdr:from>
    <xdr:ext cx="4115752" cy="629565"/>
    <xdr:sp macro="" textlink="">
      <xdr:nvSpPr>
        <xdr:cNvPr id="32" name="TextBox 31">
          <a:extLst>
            <a:ext uri="{FF2B5EF4-FFF2-40B4-BE49-F238E27FC236}">
              <a16:creationId xmlns:a16="http://schemas.microsoft.com/office/drawing/2014/main" id="{37514658-F2A3-40B1-9A01-D9329943D60D}"/>
            </a:ext>
          </a:extLst>
        </xdr:cNvPr>
        <xdr:cNvSpPr txBox="1"/>
      </xdr:nvSpPr>
      <xdr:spPr>
        <a:xfrm>
          <a:off x="6260782" y="1094710"/>
          <a:ext cx="4115752" cy="6295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4000" b="1">
              <a:solidFill>
                <a:srgbClr val="590202"/>
              </a:solidFill>
            </a:rPr>
            <a:t>Total sales</a:t>
          </a:r>
        </a:p>
      </xdr:txBody>
    </xdr:sp>
    <xdr:clientData/>
  </xdr:oneCellAnchor>
  <xdr:twoCellAnchor editAs="oneCell">
    <xdr:from>
      <xdr:col>23</xdr:col>
      <xdr:colOff>74728</xdr:colOff>
      <xdr:row>5</xdr:row>
      <xdr:rowOff>88510</xdr:rowOff>
    </xdr:from>
    <xdr:to>
      <xdr:col>25</xdr:col>
      <xdr:colOff>510541</xdr:colOff>
      <xdr:row>14</xdr:row>
      <xdr:rowOff>178519</xdr:rowOff>
    </xdr:to>
    <xdr:pic>
      <xdr:nvPicPr>
        <xdr:cNvPr id="33" name="Picture 32">
          <a:hlinkClick xmlns:r="http://schemas.openxmlformats.org/officeDocument/2006/relationships" r:id="rId2"/>
          <a:extLst>
            <a:ext uri="{FF2B5EF4-FFF2-40B4-BE49-F238E27FC236}">
              <a16:creationId xmlns:a16="http://schemas.microsoft.com/office/drawing/2014/main" id="{D19C4517-2D5C-4D6E-8244-ABCB05AD8C5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095528" y="997195"/>
          <a:ext cx="1658823" cy="1716879"/>
        </a:xfrm>
        <a:prstGeom prst="ellipse">
          <a:avLst/>
        </a:prstGeom>
        <a:noFill/>
        <a:ln w="63500" cap="rnd">
          <a:noFill/>
        </a:ln>
        <a:effectLst>
          <a:outerShdw blurRad="50800" dist="38100" dir="8100000" algn="tr" rotWithShape="0">
            <a:prstClr val="black">
              <a:alpha val="40000"/>
            </a:prstClr>
          </a:outerShdw>
        </a:effectLst>
        <a:scene3d>
          <a:camera prst="orthographicFront"/>
          <a:lightRig rig="contrasting" dir="t">
            <a:rot lat="0" lon="0" rev="3000000"/>
          </a:lightRig>
        </a:scene3d>
        <a:sp3d contourW="7620">
          <a:contourClr>
            <a:srgbClr val="333333"/>
          </a:contourClr>
        </a:sp3d>
      </xdr:spPr>
    </xdr:pic>
    <xdr:clientData/>
  </xdr:twoCellAnchor>
  <xdr:twoCellAnchor>
    <xdr:from>
      <xdr:col>18</xdr:col>
      <xdr:colOff>49529</xdr:colOff>
      <xdr:row>5</xdr:row>
      <xdr:rowOff>46259</xdr:rowOff>
    </xdr:from>
    <xdr:to>
      <xdr:col>21</xdr:col>
      <xdr:colOff>315487</xdr:colOff>
      <xdr:row>14</xdr:row>
      <xdr:rowOff>163099</xdr:rowOff>
    </xdr:to>
    <xdr:sp macro="" textlink="">
      <xdr:nvSpPr>
        <xdr:cNvPr id="34" name="Rectangle: Rounded Corners 33">
          <a:extLst>
            <a:ext uri="{FF2B5EF4-FFF2-40B4-BE49-F238E27FC236}">
              <a16:creationId xmlns:a16="http://schemas.microsoft.com/office/drawing/2014/main" id="{CB4BD25A-E70A-4358-96DA-512CC4E32724}"/>
            </a:ext>
          </a:extLst>
        </xdr:cNvPr>
        <xdr:cNvSpPr/>
      </xdr:nvSpPr>
      <xdr:spPr>
        <a:xfrm>
          <a:off x="11024234" y="953039"/>
          <a:ext cx="2094758" cy="1745615"/>
        </a:xfrm>
        <a:prstGeom prst="roundRect">
          <a:avLst/>
        </a:prstGeom>
        <a:solidFill>
          <a:schemeClr val="bg1"/>
        </a:solidFill>
        <a:ln>
          <a:noFill/>
        </a:ln>
        <a:effectLst>
          <a:outerShdw blurRad="63500" sx="102000" sy="102000" algn="ctr" rotWithShape="0">
            <a:prstClr val="black">
              <a:alpha val="2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27</xdr:col>
      <xdr:colOff>384809</xdr:colOff>
      <xdr:row>5</xdr:row>
      <xdr:rowOff>26256</xdr:rowOff>
    </xdr:from>
    <xdr:to>
      <xdr:col>31</xdr:col>
      <xdr:colOff>39262</xdr:colOff>
      <xdr:row>14</xdr:row>
      <xdr:rowOff>137381</xdr:rowOff>
    </xdr:to>
    <xdr:sp macro="" textlink="">
      <xdr:nvSpPr>
        <xdr:cNvPr id="35" name="Rectangle: Rounded Corners 34">
          <a:extLst>
            <a:ext uri="{FF2B5EF4-FFF2-40B4-BE49-F238E27FC236}">
              <a16:creationId xmlns:a16="http://schemas.microsoft.com/office/drawing/2014/main" id="{DDD862A6-CDA5-4D8E-B61F-F2B1379AB079}"/>
            </a:ext>
          </a:extLst>
        </xdr:cNvPr>
        <xdr:cNvSpPr/>
      </xdr:nvSpPr>
      <xdr:spPr>
        <a:xfrm>
          <a:off x="16844009" y="927321"/>
          <a:ext cx="2092853" cy="1739900"/>
        </a:xfrm>
        <a:prstGeom prst="roundRect">
          <a:avLst/>
        </a:prstGeom>
        <a:solidFill>
          <a:schemeClr val="bg1"/>
        </a:solidFill>
        <a:ln>
          <a:noFill/>
        </a:ln>
        <a:effectLst>
          <a:outerShdw blurRad="63500" sx="102000" sy="102000" algn="ctr" rotWithShape="0">
            <a:prstClr val="black">
              <a:alpha val="2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16</xdr:col>
      <xdr:colOff>318135</xdr:colOff>
      <xdr:row>7</xdr:row>
      <xdr:rowOff>97156</xdr:rowOff>
    </xdr:from>
    <xdr:ext cx="4115752" cy="1884997"/>
    <xdr:sp macro="" textlink="'Pivot table'!AW11">
      <xdr:nvSpPr>
        <xdr:cNvPr id="36" name="TextBox 35">
          <a:extLst>
            <a:ext uri="{FF2B5EF4-FFF2-40B4-BE49-F238E27FC236}">
              <a16:creationId xmlns:a16="http://schemas.microsoft.com/office/drawing/2014/main" id="{C2C965CC-BB49-4C00-9A46-E9ED9CEC2261}"/>
            </a:ext>
          </a:extLst>
        </xdr:cNvPr>
        <xdr:cNvSpPr txBox="1"/>
      </xdr:nvSpPr>
      <xdr:spPr>
        <a:xfrm>
          <a:off x="10075545" y="1360171"/>
          <a:ext cx="4115752" cy="18849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8A53AC6A-A9AF-4170-B316-4CC1B2E18155}" type="TxLink">
            <a:rPr lang="en-US" sz="5400" b="0" i="0" u="none" strike="noStrike">
              <a:solidFill>
                <a:srgbClr val="A60311"/>
              </a:solidFill>
              <a:latin typeface="Calibri"/>
              <a:ea typeface="Calibri"/>
              <a:cs typeface="Calibri"/>
            </a:rPr>
            <a:pPr marL="0" indent="0" algn="ctr"/>
            <a:t>101</a:t>
          </a:fld>
          <a:endParaRPr lang="en-US" sz="5400" b="0" i="0" u="none" strike="noStrike">
            <a:solidFill>
              <a:srgbClr val="A60311"/>
            </a:solidFill>
            <a:latin typeface="Calibri"/>
            <a:ea typeface="Calibri"/>
            <a:cs typeface="Calibri"/>
          </a:endParaRPr>
        </a:p>
      </xdr:txBody>
    </xdr:sp>
    <xdr:clientData/>
  </xdr:oneCellAnchor>
  <xdr:oneCellAnchor>
    <xdr:from>
      <xdr:col>28</xdr:col>
      <xdr:colOff>1904</xdr:colOff>
      <xdr:row>9</xdr:row>
      <xdr:rowOff>63817</xdr:rowOff>
    </xdr:from>
    <xdr:ext cx="1622108" cy="908685"/>
    <xdr:sp macro="" textlink="'Pivot table'!AW12">
      <xdr:nvSpPr>
        <xdr:cNvPr id="37" name="TextBox 36">
          <a:extLst>
            <a:ext uri="{FF2B5EF4-FFF2-40B4-BE49-F238E27FC236}">
              <a16:creationId xmlns:a16="http://schemas.microsoft.com/office/drawing/2014/main" id="{4A180513-811B-4313-8BCF-D8E76A825AE3}"/>
            </a:ext>
          </a:extLst>
        </xdr:cNvPr>
        <xdr:cNvSpPr txBox="1"/>
      </xdr:nvSpPr>
      <xdr:spPr>
        <a:xfrm>
          <a:off x="17070704" y="1688782"/>
          <a:ext cx="1622108" cy="9086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F78D7A3D-39CA-45F6-8877-1794F1C51F14}" type="TxLink">
            <a:rPr lang="en-US" sz="7200" b="0" i="0" u="none" strike="noStrike">
              <a:solidFill>
                <a:srgbClr val="8A96A6"/>
              </a:solidFill>
              <a:latin typeface="Calibri"/>
              <a:ea typeface="Calibri"/>
              <a:cs typeface="Calibri"/>
            </a:rPr>
            <a:pPr marL="0" indent="0" algn="ctr"/>
            <a:t>20</a:t>
          </a:fld>
          <a:endParaRPr lang="en-US" sz="7200" b="0" i="0" u="none" strike="noStrike">
            <a:solidFill>
              <a:srgbClr val="8A96A6"/>
            </a:solidFill>
            <a:latin typeface="Calibri"/>
            <a:ea typeface="Calibri"/>
            <a:cs typeface="Calibri"/>
          </a:endParaRPr>
        </a:p>
      </xdr:txBody>
    </xdr:sp>
    <xdr:clientData/>
  </xdr:oneCellAnchor>
  <xdr:oneCellAnchor>
    <xdr:from>
      <xdr:col>17</xdr:col>
      <xdr:colOff>474344</xdr:colOff>
      <xdr:row>5</xdr:row>
      <xdr:rowOff>155546</xdr:rowOff>
    </xdr:from>
    <xdr:ext cx="2403158" cy="629565"/>
    <xdr:sp macro="" textlink="">
      <xdr:nvSpPr>
        <xdr:cNvPr id="38" name="TextBox 37">
          <a:extLst>
            <a:ext uri="{FF2B5EF4-FFF2-40B4-BE49-F238E27FC236}">
              <a16:creationId xmlns:a16="http://schemas.microsoft.com/office/drawing/2014/main" id="{7AAEE056-2B37-4B6A-B685-824FD04B991D}"/>
            </a:ext>
          </a:extLst>
        </xdr:cNvPr>
        <xdr:cNvSpPr txBox="1"/>
      </xdr:nvSpPr>
      <xdr:spPr>
        <a:xfrm>
          <a:off x="10841354" y="1060421"/>
          <a:ext cx="2403158" cy="6295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3600" b="1">
              <a:solidFill>
                <a:srgbClr val="590202"/>
              </a:solidFill>
              <a:latin typeface="+mn-lt"/>
              <a:ea typeface="+mn-ea"/>
              <a:cs typeface="+mn-cs"/>
            </a:rPr>
            <a:t>Delivered</a:t>
          </a:r>
          <a:endParaRPr lang="en-US" sz="4000" b="1">
            <a:solidFill>
              <a:srgbClr val="590202"/>
            </a:solidFill>
            <a:latin typeface="+mn-lt"/>
            <a:ea typeface="+mn-ea"/>
            <a:cs typeface="+mn-cs"/>
          </a:endParaRPr>
        </a:p>
      </xdr:txBody>
    </xdr:sp>
    <xdr:clientData/>
  </xdr:oneCellAnchor>
  <xdr:oneCellAnchor>
    <xdr:from>
      <xdr:col>27</xdr:col>
      <xdr:colOff>208596</xdr:colOff>
      <xdr:row>5</xdr:row>
      <xdr:rowOff>155546</xdr:rowOff>
    </xdr:from>
    <xdr:ext cx="2403158" cy="629565"/>
    <xdr:sp macro="" textlink="">
      <xdr:nvSpPr>
        <xdr:cNvPr id="39" name="TextBox 38">
          <a:extLst>
            <a:ext uri="{FF2B5EF4-FFF2-40B4-BE49-F238E27FC236}">
              <a16:creationId xmlns:a16="http://schemas.microsoft.com/office/drawing/2014/main" id="{DA96AC30-B568-4FFB-BF3D-5E0358A37DA3}"/>
            </a:ext>
          </a:extLst>
        </xdr:cNvPr>
        <xdr:cNvSpPr txBox="1"/>
      </xdr:nvSpPr>
      <xdr:spPr>
        <a:xfrm>
          <a:off x="16671606" y="1060421"/>
          <a:ext cx="2403158" cy="6295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4000" b="1">
              <a:solidFill>
                <a:srgbClr val="590202"/>
              </a:solidFill>
              <a:latin typeface="+mn-lt"/>
              <a:ea typeface="+mn-ea"/>
              <a:cs typeface="+mn-cs"/>
            </a:rPr>
            <a:t>Failures</a:t>
          </a:r>
        </a:p>
      </xdr:txBody>
    </xdr:sp>
    <xdr:clientData/>
  </xdr:oneCellAnchor>
  <xdr:twoCellAnchor>
    <xdr:from>
      <xdr:col>3</xdr:col>
      <xdr:colOff>364806</xdr:colOff>
      <xdr:row>5</xdr:row>
      <xdr:rowOff>117160</xdr:rowOff>
    </xdr:from>
    <xdr:to>
      <xdr:col>9</xdr:col>
      <xdr:colOff>397191</xdr:colOff>
      <xdr:row>53</xdr:row>
      <xdr:rowOff>146539</xdr:rowOff>
    </xdr:to>
    <xdr:sp macro="" textlink="">
      <xdr:nvSpPr>
        <xdr:cNvPr id="40" name="Rectangle: Rounded Corners 39">
          <a:extLst>
            <a:ext uri="{FF2B5EF4-FFF2-40B4-BE49-F238E27FC236}">
              <a16:creationId xmlns:a16="http://schemas.microsoft.com/office/drawing/2014/main" id="{FD4813EF-534D-423C-B4D5-50A778694A33}"/>
            </a:ext>
          </a:extLst>
        </xdr:cNvPr>
        <xdr:cNvSpPr/>
      </xdr:nvSpPr>
      <xdr:spPr>
        <a:xfrm>
          <a:off x="2196537" y="971968"/>
          <a:ext cx="3695846" cy="8259956"/>
        </a:xfrm>
        <a:prstGeom prst="roundRect">
          <a:avLst/>
        </a:prstGeom>
        <a:solidFill>
          <a:schemeClr val="bg1"/>
        </a:solidFill>
        <a:ln>
          <a:noFill/>
        </a:ln>
        <a:effectLst>
          <a:outerShdw blurRad="63500" sx="102000" sy="102000" algn="ctr" rotWithShape="0">
            <a:prstClr val="black">
              <a:alpha val="2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60954</xdr:colOff>
      <xdr:row>6</xdr:row>
      <xdr:rowOff>155260</xdr:rowOff>
    </xdr:from>
    <xdr:to>
      <xdr:col>9</xdr:col>
      <xdr:colOff>375279</xdr:colOff>
      <xdr:row>15</xdr:row>
      <xdr:rowOff>131447</xdr:rowOff>
    </xdr:to>
    <xdr:sp macro="" textlink="">
      <xdr:nvSpPr>
        <xdr:cNvPr id="41" name="Arrow: Right 40">
          <a:hlinkClick xmlns:r="http://schemas.openxmlformats.org/officeDocument/2006/relationships" r:id="rId4"/>
          <a:extLst>
            <a:ext uri="{FF2B5EF4-FFF2-40B4-BE49-F238E27FC236}">
              <a16:creationId xmlns:a16="http://schemas.microsoft.com/office/drawing/2014/main" id="{A1738D36-A732-4B4D-9836-0997CEDCE259}"/>
            </a:ext>
          </a:extLst>
        </xdr:cNvPr>
        <xdr:cNvSpPr/>
      </xdr:nvSpPr>
      <xdr:spPr>
        <a:xfrm rot="10800000">
          <a:off x="2537454" y="1298260"/>
          <a:ext cx="3409950" cy="1690687"/>
        </a:xfrm>
        <a:prstGeom prst="rightArrow">
          <a:avLst/>
        </a:prstGeom>
        <a:solidFill>
          <a:srgbClr val="8A96A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599123</xdr:colOff>
      <xdr:row>9</xdr:row>
      <xdr:rowOff>148590</xdr:rowOff>
    </xdr:from>
    <xdr:ext cx="3230880" cy="864870"/>
    <xdr:sp macro="" textlink="">
      <xdr:nvSpPr>
        <xdr:cNvPr id="42" name="TextBox 41">
          <a:hlinkClick xmlns:r="http://schemas.openxmlformats.org/officeDocument/2006/relationships" r:id="rId4"/>
          <a:extLst>
            <a:ext uri="{FF2B5EF4-FFF2-40B4-BE49-F238E27FC236}">
              <a16:creationId xmlns:a16="http://schemas.microsoft.com/office/drawing/2014/main" id="{6028D4DA-E206-4E25-BB39-39AE55C1CAB0}"/>
            </a:ext>
          </a:extLst>
        </xdr:cNvPr>
        <xdr:cNvSpPr txBox="1"/>
      </xdr:nvSpPr>
      <xdr:spPr>
        <a:xfrm>
          <a:off x="3075623" y="1863090"/>
          <a:ext cx="3230880" cy="8648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3200" b="0">
              <a:solidFill>
                <a:srgbClr val="590202"/>
              </a:solidFill>
            </a:rPr>
            <a:t>Sales Overview</a:t>
          </a:r>
        </a:p>
      </xdr:txBody>
    </xdr:sp>
    <xdr:clientData/>
  </xdr:oneCellAnchor>
  <xdr:oneCellAnchor>
    <xdr:from>
      <xdr:col>3</xdr:col>
      <xdr:colOff>333375</xdr:colOff>
      <xdr:row>20</xdr:row>
      <xdr:rowOff>65722</xdr:rowOff>
    </xdr:from>
    <xdr:ext cx="3857625" cy="694374"/>
    <xdr:sp macro="" textlink="">
      <xdr:nvSpPr>
        <xdr:cNvPr id="43" name="TextBox 42">
          <a:extLst>
            <a:ext uri="{FF2B5EF4-FFF2-40B4-BE49-F238E27FC236}">
              <a16:creationId xmlns:a16="http://schemas.microsoft.com/office/drawing/2014/main" id="{24976BFA-9E14-4E95-AB88-D89318A53892}"/>
            </a:ext>
          </a:extLst>
        </xdr:cNvPr>
        <xdr:cNvSpPr txBox="1"/>
      </xdr:nvSpPr>
      <xdr:spPr>
        <a:xfrm>
          <a:off x="2190750" y="3875722"/>
          <a:ext cx="3857625" cy="694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b="1">
              <a:solidFill>
                <a:srgbClr val="590202"/>
              </a:solidFill>
            </a:rPr>
            <a:t>Daily Sales Performance</a:t>
          </a:r>
        </a:p>
      </xdr:txBody>
    </xdr:sp>
    <xdr:clientData/>
  </xdr:oneCellAnchor>
  <xdr:twoCellAnchor>
    <xdr:from>
      <xdr:col>10</xdr:col>
      <xdr:colOff>254318</xdr:colOff>
      <xdr:row>33</xdr:row>
      <xdr:rowOff>119062</xdr:rowOff>
    </xdr:from>
    <xdr:to>
      <xdr:col>40</xdr:col>
      <xdr:colOff>240030</xdr:colOff>
      <xdr:row>54</xdr:row>
      <xdr:rowOff>95250</xdr:rowOff>
    </xdr:to>
    <xdr:graphicFrame macro="">
      <xdr:nvGraphicFramePr>
        <xdr:cNvPr id="4" name="Chart 3">
          <a:extLst>
            <a:ext uri="{FF2B5EF4-FFF2-40B4-BE49-F238E27FC236}">
              <a16:creationId xmlns:a16="http://schemas.microsoft.com/office/drawing/2014/main" id="{86651AF4-861E-4FCE-B929-C950D932B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544929</xdr:colOff>
      <xdr:row>16</xdr:row>
      <xdr:rowOff>1</xdr:rowOff>
    </xdr:from>
    <xdr:to>
      <xdr:col>31</xdr:col>
      <xdr:colOff>11206</xdr:colOff>
      <xdr:row>31</xdr:row>
      <xdr:rowOff>156883</xdr:rowOff>
    </xdr:to>
    <xdr:sp macro="" textlink="">
      <xdr:nvSpPr>
        <xdr:cNvPr id="9" name="Rectangle: Rounded Corners 8">
          <a:extLst>
            <a:ext uri="{FF2B5EF4-FFF2-40B4-BE49-F238E27FC236}">
              <a16:creationId xmlns:a16="http://schemas.microsoft.com/office/drawing/2014/main" id="{BC77053B-B957-4DA2-8DD1-A61884129BFC}"/>
            </a:ext>
          </a:extLst>
        </xdr:cNvPr>
        <xdr:cNvSpPr/>
      </xdr:nvSpPr>
      <xdr:spPr>
        <a:xfrm>
          <a:off x="6596105" y="2868707"/>
          <a:ext cx="12173748" cy="2857500"/>
        </a:xfrm>
        <a:prstGeom prst="roundRect">
          <a:avLst/>
        </a:prstGeom>
        <a:solidFill>
          <a:schemeClr val="bg1"/>
        </a:solidFill>
        <a:ln>
          <a:noFill/>
        </a:ln>
        <a:effectLst>
          <a:outerShdw blurRad="63500" sx="102000" sy="102000" algn="ctr" rotWithShape="0">
            <a:prstClr val="black">
              <a:alpha val="2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a:solidFill>
              <a:schemeClr val="lt1"/>
            </a:solidFill>
            <a:latin typeface="+mn-lt"/>
            <a:ea typeface="+mn-ea"/>
            <a:cs typeface="+mn-cs"/>
          </a:endParaRPr>
        </a:p>
      </xdr:txBody>
    </xdr:sp>
    <xdr:clientData/>
  </xdr:twoCellAnchor>
  <xdr:twoCellAnchor editAs="oneCell">
    <xdr:from>
      <xdr:col>3</xdr:col>
      <xdr:colOff>429846</xdr:colOff>
      <xdr:row>28</xdr:row>
      <xdr:rowOff>48846</xdr:rowOff>
    </xdr:from>
    <xdr:to>
      <xdr:col>9</xdr:col>
      <xdr:colOff>239346</xdr:colOff>
      <xdr:row>51</xdr:row>
      <xdr:rowOff>48844</xdr:rowOff>
    </xdr:to>
    <mc:AlternateContent xmlns:mc="http://schemas.openxmlformats.org/markup-compatibility/2006">
      <mc:Choice xmlns:a14="http://schemas.microsoft.com/office/drawing/2010/main" Requires="a14">
        <xdr:graphicFrame macro="">
          <xdr:nvGraphicFramePr>
            <xdr:cNvPr id="11" name="الشهر 1">
              <a:extLst>
                <a:ext uri="{FF2B5EF4-FFF2-40B4-BE49-F238E27FC236}">
                  <a16:creationId xmlns:a16="http://schemas.microsoft.com/office/drawing/2014/main" id="{38698E5A-7158-4D03-ABD9-7252CD50A0E9}"/>
                </a:ext>
              </a:extLst>
            </xdr:cNvPr>
            <xdr:cNvGraphicFramePr/>
          </xdr:nvGraphicFramePr>
          <xdr:xfrm>
            <a:off x="0" y="0"/>
            <a:ext cx="0" cy="0"/>
          </xdr:xfrm>
          <a:graphic>
            <a:graphicData uri="http://schemas.microsoft.com/office/drawing/2010/slicer">
              <sle:slicer xmlns:sle="http://schemas.microsoft.com/office/drawing/2010/slicer" name="الشهر 1"/>
            </a:graphicData>
          </a:graphic>
        </xdr:graphicFrame>
      </mc:Choice>
      <mc:Fallback>
        <xdr:sp macro="" textlink="">
          <xdr:nvSpPr>
            <xdr:cNvPr id="0" name=""/>
            <xdr:cNvSpPr>
              <a:spLocks noTextEdit="1"/>
            </xdr:cNvSpPr>
          </xdr:nvSpPr>
          <xdr:spPr>
            <a:xfrm>
              <a:off x="2246923" y="4992077"/>
              <a:ext cx="3443654" cy="4044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549593</xdr:colOff>
      <xdr:row>18</xdr:row>
      <xdr:rowOff>168592</xdr:rowOff>
    </xdr:from>
    <xdr:to>
      <xdr:col>30</xdr:col>
      <xdr:colOff>551497</xdr:colOff>
      <xdr:row>31</xdr:row>
      <xdr:rowOff>73269</xdr:rowOff>
    </xdr:to>
    <xdr:graphicFrame macro="">
      <xdr:nvGraphicFramePr>
        <xdr:cNvPr id="12" name="Chart 11">
          <a:extLst>
            <a:ext uri="{FF2B5EF4-FFF2-40B4-BE49-F238E27FC236}">
              <a16:creationId xmlns:a16="http://schemas.microsoft.com/office/drawing/2014/main" id="{BE63822B-6465-4873-BA1E-D9D9E8769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16</xdr:col>
      <xdr:colOff>452437</xdr:colOff>
      <xdr:row>15</xdr:row>
      <xdr:rowOff>113348</xdr:rowOff>
    </xdr:from>
    <xdr:ext cx="4410393" cy="593304"/>
    <xdr:sp macro="" textlink="">
      <xdr:nvSpPr>
        <xdr:cNvPr id="16" name="TextBox 15">
          <a:extLst>
            <a:ext uri="{FF2B5EF4-FFF2-40B4-BE49-F238E27FC236}">
              <a16:creationId xmlns:a16="http://schemas.microsoft.com/office/drawing/2014/main" id="{9B3AC873-877D-4417-ABBC-B5BD12831682}"/>
            </a:ext>
          </a:extLst>
        </xdr:cNvPr>
        <xdr:cNvSpPr txBox="1"/>
      </xdr:nvSpPr>
      <xdr:spPr>
        <a:xfrm>
          <a:off x="10358437" y="2970848"/>
          <a:ext cx="4410393"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r>
            <a:rPr lang="en-US" sz="3200" b="1">
              <a:solidFill>
                <a:srgbClr val="590202"/>
              </a:solidFill>
              <a:latin typeface="+mn-lt"/>
              <a:ea typeface="+mn-ea"/>
              <a:cs typeface="+mn-cs"/>
            </a:rPr>
            <a:t>Sales</a:t>
          </a:r>
          <a:r>
            <a:rPr lang="en-US" sz="3200" b="1" baseline="0">
              <a:solidFill>
                <a:srgbClr val="590202"/>
              </a:solidFill>
              <a:latin typeface="+mn-lt"/>
              <a:ea typeface="+mn-ea"/>
              <a:cs typeface="+mn-cs"/>
            </a:rPr>
            <a:t> by Months</a:t>
          </a:r>
        </a:p>
      </xdr:txBody>
    </xdr:sp>
    <xdr:clientData/>
  </xdr:oneCellAnchor>
  <xdr:oneCellAnchor>
    <xdr:from>
      <xdr:col>17</xdr:col>
      <xdr:colOff>455297</xdr:colOff>
      <xdr:row>33</xdr:row>
      <xdr:rowOff>122704</xdr:rowOff>
    </xdr:from>
    <xdr:ext cx="6980874" cy="843757"/>
    <xdr:sp macro="" textlink="">
      <xdr:nvSpPr>
        <xdr:cNvPr id="17" name="TextBox 16">
          <a:extLst>
            <a:ext uri="{FF2B5EF4-FFF2-40B4-BE49-F238E27FC236}">
              <a16:creationId xmlns:a16="http://schemas.microsoft.com/office/drawing/2014/main" id="{BCB4F6B9-526C-46DB-B097-0618E904A498}"/>
            </a:ext>
          </a:extLst>
        </xdr:cNvPr>
        <xdr:cNvSpPr txBox="1"/>
      </xdr:nvSpPr>
      <xdr:spPr>
        <a:xfrm>
          <a:off x="10742297" y="6050616"/>
          <a:ext cx="6980874" cy="843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r>
            <a:rPr lang="en-US" sz="4800" b="1" baseline="0">
              <a:solidFill>
                <a:srgbClr val="590202"/>
              </a:solidFill>
              <a:latin typeface="+mn-lt"/>
              <a:ea typeface="+mn-ea"/>
              <a:cs typeface="+mn-cs"/>
            </a:rPr>
            <a:t>Sales by Date</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Huda" refreshedDate="45997.641444791669" createdVersion="8" refreshedVersion="8" minRefreshableVersion="3" recordCount="125" xr:uid="{02645707-5193-4EE7-8A71-F275AC48EEA3}">
  <cacheSource type="worksheet">
    <worksheetSource name="data"/>
  </cacheSource>
  <cacheFields count="22">
    <cacheField name="أسم العميل" numFmtId="0">
      <sharedItems count="79">
        <s v="شيك هومز"/>
        <s v="احمد "/>
        <s v="زينا "/>
        <s v="تاكى"/>
        <s v="yilmaz"/>
        <s v="ساندرا"/>
        <s v="احمد فخرى "/>
        <s v="على رشوان "/>
        <s v="لينا "/>
        <s v="فيصل نعيم "/>
        <s v="حسن حازم"/>
        <s v="ellho elkafy"/>
        <s v="اوسكار راتن"/>
        <s v="صفاء الحكيم"/>
        <s v="يوسف شناوى"/>
        <s v="حاتم العيسوي "/>
        <s v="رنا "/>
        <s v="عبير نور الدين"/>
        <s v="اسراء ابو العنين "/>
        <s v="وائل صادق"/>
        <s v="حسن مغرب "/>
        <s v="على السيد "/>
        <s v="هشام بسيونى "/>
        <s v="ساره وجيه "/>
        <s v="مها "/>
        <s v="بسام الشربينى "/>
        <s v="هبه عبد الفتاح "/>
        <s v="اسراء ابراهيم "/>
        <s v="طارق كمال "/>
        <s v="الحج محمد السويس"/>
        <s v="صفاء"/>
        <s v="ديفد بهجت "/>
        <s v="اياد "/>
        <s v="ميار خورشد"/>
        <s v="عبد الله سيد "/>
        <s v="كينج سونا "/>
        <s v="احمد خالد "/>
        <s v="ساره"/>
        <s v="احمد ايمن "/>
        <s v="اسامه"/>
        <s v="ولاء بدوى"/>
        <s v="عبد الرحمن يسري"/>
        <s v="بولا هومزمارت"/>
        <s v="فاطمه محمد"/>
        <s v="عمرو الأسود"/>
        <s v="هشام سامى"/>
        <s v="مصطفي غنيم "/>
        <s v="حسام عبدون"/>
        <s v="رامى "/>
        <s v="رحاب"/>
        <s v="فؤاد المنسي "/>
        <s v="mohannad"/>
        <s v="Mohamed Ayman"/>
        <s v="منزلى"/>
        <s v="حماده"/>
        <s v="محمد شكرى "/>
        <s v="رندا العامرى "/>
        <s v="صفاء عبد الباقي"/>
        <s v="محمد حمدى"/>
        <s v="بافلى هانى "/>
        <s v="رنا ميلاد"/>
        <s v="محمد ناجى"/>
        <s v="نور "/>
        <s v="تامر"/>
        <s v="محمد عادل "/>
        <s v="احمد عبد الستار"/>
        <s v="keira"/>
        <s v="هناء اسامه"/>
        <s v="tarek"/>
        <s v="reem"/>
        <s v="هبه عطيه "/>
        <s v="حمدى ذكرى"/>
        <s v="مريم عنان"/>
        <s v="خالد عبد القوى "/>
        <s v="محمود"/>
        <s v="سعيد"/>
        <s v="تاكى "/>
        <s v="شيك هومز " u="1"/>
        <s v="نور" u="1"/>
      </sharedItems>
    </cacheField>
    <cacheField name="نوع العميل " numFmtId="0">
      <sharedItems count="2">
        <s v="شركة"/>
        <s v="افراد"/>
      </sharedItems>
    </cacheField>
    <cacheField name="العنوان" numFmtId="0">
      <sharedItems count="42">
        <s v="مخزن شيك هومز"/>
        <s v="التجمع الخامس"/>
        <s v="سيدى عبد الرحمن "/>
        <s v="العباسيه"/>
        <s v="٦ اكتوبر  "/>
        <s v="الغردقه "/>
        <s v="العباسيه "/>
        <s v="مصر الجديده"/>
        <s v="المقطم "/>
        <s v="التجمع الخامس "/>
        <s v="القاهره الجديده"/>
        <s v="مدينه نصر "/>
        <s v="مخزن اوسكار في القناطر "/>
        <s v="العين السخنه"/>
        <s v="الابراهيميه "/>
        <s v="القطاميه "/>
        <s v="بولاق "/>
        <s v="الشروق  "/>
        <s v="حدايق الاهرام "/>
        <s v="الشروق"/>
        <s v="لافيستا العين السخنه "/>
        <s v="القاهره الجديده "/>
        <s v="المعادي"/>
        <s v="المخزن ابو الغيط "/>
        <s v="السويس "/>
        <s v="فيصل"/>
        <s v="الشيخ زايد "/>
        <s v="الرحاب"/>
        <s v="العبور"/>
        <s v="الزمالك"/>
        <s v="اسيوط "/>
        <s v="الغردقه"/>
        <s v="مدينة بدر"/>
        <s v="مدينتى"/>
        <s v="شبرا "/>
        <s v="جليم"/>
        <s v="المندره "/>
        <s v="القطاميه"/>
        <s v="البطاش"/>
        <s v="العجوزه "/>
        <s v="سموحه "/>
        <s v="المعرض مدينه نصر"/>
      </sharedItems>
    </cacheField>
    <cacheField name="محافظة" numFmtId="0">
      <sharedItems/>
    </cacheField>
    <cacheField name="منصة البيع " numFmtId="0">
      <sharedItems count="12">
        <s v="شيك هومز "/>
        <s v="فيس بوك"/>
        <s v="هومزمارت"/>
        <s v="تاكى"/>
        <s v="اوسكار ريتن "/>
        <s v="السويس"/>
        <s v="منزلى "/>
        <s v="كيمت "/>
        <s v="تاكى " u="1"/>
        <s v="شيك هومز" u="1"/>
        <s v="هومزمارت " u="1"/>
        <s v="منزلى" u="1"/>
      </sharedItems>
    </cacheField>
    <cacheField name="نوع المنتج " numFmtId="0">
      <sharedItems count="9">
        <s v="كنبة "/>
        <s v="سرير"/>
        <s v="ركنة"/>
        <s v="ترابيزه"/>
        <s v="كرسى"/>
        <s v="شيزلونج"/>
        <s v="كنبة" u="1"/>
        <s v="سرير " u="1"/>
        <s v="ترابيزه " u="1"/>
      </sharedItems>
    </cacheField>
    <cacheField name="الشكل" numFmtId="0">
      <sharedItems/>
    </cacheField>
    <cacheField name="الماركة" numFmtId="0">
      <sharedItems/>
    </cacheField>
    <cacheField name="المقاس" numFmtId="0">
      <sharedItems containsMixedTypes="1" containsNumber="1" containsInteger="1" minValue="80" maxValue="160"/>
    </cacheField>
    <cacheField name="اللون المعدن" numFmtId="0">
      <sharedItems count="13">
        <s v="اسود"/>
        <s v="غير محدد"/>
        <s v="رمادى"/>
        <s v="ابيض"/>
        <s v="دهبي"/>
        <s v="ازرق"/>
        <s v="بنفسجى"/>
        <s v="اسود وبنى"/>
        <s v="ملون"/>
        <s v="الوان"/>
        <s v="نبيتى "/>
        <s v="بينك"/>
        <s v="اسود " u="1"/>
      </sharedItems>
    </cacheField>
    <cacheField name="لون القماش" numFmtId="0">
      <sharedItems/>
    </cacheField>
    <cacheField name="اسم المنتج بالكامل" numFmtId="0">
      <sharedItems containsBlank="1"/>
    </cacheField>
    <cacheField name="سعر البيع " numFmtId="1">
      <sharedItems containsSemiMixedTypes="0" containsString="0" containsNumber="1" minValue="4020" maxValue="22000"/>
    </cacheField>
    <cacheField name="طريقه الدفع " numFmtId="2">
      <sharedItems containsBlank="1" containsMixedTypes="1" containsNumber="1" minValue="1278.53" maxValue="22000"/>
    </cacheField>
    <cacheField name="ميعاد الطلب" numFmtId="14">
      <sharedItems containsNonDate="0" containsDate="1" containsMixedTypes="1" minDate="2024-07-27T00:00:00" maxDate="2024-12-15T00:00:00" count="56">
        <d v="2024-11-08T00:00:00"/>
        <d v="2024-08-17T00:00:00"/>
        <d v="2024-08-16T00:00:00"/>
        <d v="2024-08-19T00:00:00"/>
        <d v="2024-08-14T00:00:00"/>
        <d v="2024-08-25T00:00:00"/>
        <d v="2024-09-05T00:00:00"/>
        <d v="2024-09-04T00:00:00"/>
        <d v="2024-09-01T00:00:00"/>
        <d v="2024-09-03T00:00:00"/>
        <d v="2024-09-06T00:00:00"/>
        <d v="2024-09-09T00:00:00"/>
        <d v="2024-09-12T00:00:00"/>
        <d v="2024-09-14T00:00:00"/>
        <d v="2024-09-13T00:00:00"/>
        <d v="2024-09-21T00:00:00"/>
        <d v="2024-09-23T00:00:00"/>
        <d v="2024-10-01T00:00:00"/>
        <d v="2024-09-29T00:00:00"/>
        <d v="2024-09-26T00:00:00"/>
        <d v="2024-10-08T00:00:00"/>
        <d v="2024-10-07T00:00:00"/>
        <d v="2024-09-16T00:00:00"/>
        <d v="2024-10-10T00:00:00"/>
        <d v="2024-10-26T00:00:00"/>
        <d v="2024-10-28T00:00:00"/>
        <d v="2024-10-22T00:00:00"/>
        <d v="2024-10-21T00:00:00"/>
        <d v="2024-10-24T00:00:00"/>
        <d v="2024-10-03T00:00:00"/>
        <d v="2024-10-20T00:00:00"/>
        <d v="2024-09-15T00:00:00"/>
        <d v="2024-11-10T00:00:00"/>
        <d v="2024-11-12T00:00:00"/>
        <d v="2024-11-11T00:00:00"/>
        <d v="2024-11-14T00:00:00"/>
        <d v="2024-11-17T00:00:00"/>
        <d v="2024-11-22T00:00:00"/>
        <d v="2024-11-20T00:00:00"/>
        <d v="2024-11-24T00:00:00"/>
        <d v="2024-11-19T00:00:00"/>
        <d v="2024-11-27T00:00:00"/>
        <d v="2024-11-30T00:00:00"/>
        <d v="2024-12-01T00:00:00"/>
        <d v="2024-12-04T00:00:00"/>
        <d v="2024-11-29T00:00:00"/>
        <d v="2024-10-13T00:00:00"/>
        <d v="2024-12-02T00:00:00"/>
        <d v="2024-10-16T00:00:00"/>
        <d v="2024-10-17T00:00:00"/>
        <d v="2024-12-12T00:00:00"/>
        <d v="2024-12-09T00:00:00"/>
        <d v="2024-12-14T00:00:00"/>
        <d v="2024-07-27T00:00:00"/>
        <d v="2024-07-28T00:00:00"/>
        <s v="-"/>
      </sharedItems>
    </cacheField>
    <cacheField name="الشهر" numFmtId="0">
      <sharedItems count="7">
        <s v="November"/>
        <s v="August"/>
        <s v="September"/>
        <s v="October"/>
        <s v="December"/>
        <s v="July"/>
        <s v="-"/>
      </sharedItems>
    </cacheField>
    <cacheField name="ميعاد التسليم" numFmtId="0">
      <sharedItems containsDate="1" containsMixedTypes="1" minDate="2024-03-12T00:00:00" maxDate="2025-01-06T00:00:00"/>
    </cacheField>
    <cacheField name="تاريخ التسليم" numFmtId="0">
      <sharedItems containsDate="1" containsMixedTypes="1" minDate="2024-08-10T00:00:00" maxDate="2024-12-30T00:00:00"/>
    </cacheField>
    <cacheField name="استلام ف الموعد" numFmtId="14">
      <sharedItems containsNonDate="0" count="3">
        <s v="في الموعد"/>
        <s v="متأخر"/>
        <s v="غير محدد"/>
      </sharedItems>
    </cacheField>
    <cacheField name="المسئول عن التسليم" numFmtId="0">
      <sharedItems/>
    </cacheField>
    <cacheField name="الحالة" numFmtId="0">
      <sharedItems count="4">
        <s v="تم التسليم"/>
        <s v="فشل التسليم"/>
        <s v="غير محدد"/>
        <s v="تم التسليم " u="1"/>
      </sharedItems>
    </cacheField>
    <cacheField name="المسئول" numFmtId="14">
      <sharedItems containsNonDate="0" count="7">
        <s v="محمود على"/>
        <s v="شركه شحن"/>
        <s v="فشل التسليم"/>
        <s v="غير محدد"/>
        <s v="الحج سيد"/>
        <s v="م محمد"/>
        <s v="العميل رفض الاستلام"/>
      </sharedItems>
    </cacheField>
  </cacheFields>
  <extLst>
    <ext xmlns:x14="http://schemas.microsoft.com/office/spreadsheetml/2009/9/main" uri="{725AE2AE-9491-48be-B2B4-4EB974FC3084}">
      <x14:pivotCacheDefinition pivotCacheId="13985064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
  <r>
    <x v="0"/>
    <x v="0"/>
    <x v="0"/>
    <s v="القاهره"/>
    <x v="0"/>
    <x v="0"/>
    <s v="4*1"/>
    <s v="ارينا"/>
    <s v="غير محدد"/>
    <x v="0"/>
    <s v="بترولى"/>
    <m/>
    <n v="15872"/>
    <s v="مسبق"/>
    <x v="0"/>
    <x v="0"/>
    <d v="2024-03-12T00:00:00"/>
    <d v="2024-11-14T00:00:00"/>
    <x v="0"/>
    <s v="محمود على"/>
    <x v="0"/>
    <x v="0"/>
  </r>
  <r>
    <x v="1"/>
    <x v="1"/>
    <x v="1"/>
    <s v="القاهره"/>
    <x v="1"/>
    <x v="0"/>
    <s v="4*1"/>
    <s v="غير محدد"/>
    <s v="غير محدد"/>
    <x v="1"/>
    <s v="غير محدد"/>
    <s v="كنبه سرير رمادى "/>
    <n v="12000"/>
    <n v="12000"/>
    <x v="1"/>
    <x v="1"/>
    <d v="2024-08-20T00:00:00"/>
    <d v="2024-08-19T00:00:00"/>
    <x v="1"/>
    <s v="شركه شحن"/>
    <x v="0"/>
    <x v="1"/>
  </r>
  <r>
    <x v="2"/>
    <x v="1"/>
    <x v="2"/>
    <s v=" الساحل الشمالى "/>
    <x v="2"/>
    <x v="1"/>
    <s v="دورين"/>
    <s v="نوفال"/>
    <n v="100"/>
    <x v="2"/>
    <s v="غير محدد"/>
    <s v="سرير نوفال متر رمادى "/>
    <n v="12833"/>
    <n v="12974.22"/>
    <x v="2"/>
    <x v="1"/>
    <d v="2024-08-31T00:00:00"/>
    <s v="-"/>
    <x v="2"/>
    <s v="فشل التسليم"/>
    <x v="1"/>
    <x v="2"/>
  </r>
  <r>
    <x v="3"/>
    <x v="0"/>
    <x v="3"/>
    <s v="القاهره"/>
    <x v="3"/>
    <x v="2"/>
    <s v="ركنة بسرير"/>
    <s v="غير محدد"/>
    <s v="غير محدد"/>
    <x v="1"/>
    <s v="غير محدد"/>
    <s v="ركنه "/>
    <n v="22000"/>
    <n v="22000"/>
    <x v="3"/>
    <x v="1"/>
    <d v="2024-09-01T00:00:00"/>
    <d v="2024-09-17T00:00:00"/>
    <x v="0"/>
    <s v="غير محدد"/>
    <x v="0"/>
    <x v="3"/>
  </r>
  <r>
    <x v="0"/>
    <x v="0"/>
    <x v="0"/>
    <s v="القاهره"/>
    <x v="0"/>
    <x v="0"/>
    <s v="4*1"/>
    <s v="غير محدد"/>
    <s v="غير محدد"/>
    <x v="1"/>
    <s v="غير محدد"/>
    <s v="كنبه سرير رمادى "/>
    <n v="14550"/>
    <s v="مسبق الدفع"/>
    <x v="4"/>
    <x v="1"/>
    <d v="2024-09-03T00:00:00"/>
    <d v="2024-09-05T00:00:00"/>
    <x v="0"/>
    <s v="شركه شحن"/>
    <x v="0"/>
    <x v="1"/>
  </r>
  <r>
    <x v="4"/>
    <x v="1"/>
    <x v="4"/>
    <s v="الجيزه"/>
    <x v="2"/>
    <x v="1"/>
    <s v="فردى"/>
    <s v="غير محدد"/>
    <s v="غير محدد"/>
    <x v="1"/>
    <s v="غير محدد"/>
    <s v="سرير فردى ابيض "/>
    <n v="7228"/>
    <s v="مسبق الدفع"/>
    <x v="5"/>
    <x v="1"/>
    <d v="2024-09-03T00:00:00"/>
    <d v="2024-09-10T00:00:00"/>
    <x v="0"/>
    <s v="شركه شحن"/>
    <x v="0"/>
    <x v="1"/>
  </r>
  <r>
    <x v="5"/>
    <x v="1"/>
    <x v="5"/>
    <s v="البحر الاحمر"/>
    <x v="2"/>
    <x v="3"/>
    <s v="غير محدد"/>
    <s v="غير محدد"/>
    <s v="غير محدد"/>
    <x v="1"/>
    <s v="غير محدد"/>
    <s v="ترابيزه قهوه متحركه "/>
    <n v="8642"/>
    <s v="مسبق الدفع"/>
    <x v="5"/>
    <x v="1"/>
    <d v="2024-09-07T00:00:00"/>
    <d v="2024-08-27T00:00:00"/>
    <x v="1"/>
    <s v="شركه شحن"/>
    <x v="0"/>
    <x v="1"/>
  </r>
  <r>
    <x v="6"/>
    <x v="1"/>
    <x v="4"/>
    <s v="الجيزه"/>
    <x v="2"/>
    <x v="1"/>
    <s v="فردى"/>
    <s v="نوفال"/>
    <n v="80"/>
    <x v="3"/>
    <s v="غير محدد"/>
    <s v="سرير فردى خشب موسكى الحديد ابيض مقاس ٨٠"/>
    <n v="7295"/>
    <n v="5895"/>
    <x v="6"/>
    <x v="2"/>
    <d v="2024-09-14T00:00:00"/>
    <s v="-"/>
    <x v="2"/>
    <s v="فشل التسليم"/>
    <x v="1"/>
    <x v="2"/>
  </r>
  <r>
    <x v="3"/>
    <x v="0"/>
    <x v="6"/>
    <s v="القاهره"/>
    <x v="3"/>
    <x v="0"/>
    <s v="سحارة"/>
    <s v="غير محدد"/>
    <s v="غير محدد"/>
    <x v="1"/>
    <s v="غير محدد"/>
    <s v="٢ كنبه سحاره بدون مخدع "/>
    <n v="6000"/>
    <n v="12000"/>
    <x v="5"/>
    <x v="1"/>
    <d v="2024-09-15T00:00:00"/>
    <d v="2024-09-17T00:00:00"/>
    <x v="0"/>
    <s v="محمود على"/>
    <x v="0"/>
    <x v="0"/>
  </r>
  <r>
    <x v="3"/>
    <x v="0"/>
    <x v="6"/>
    <s v="القاهره"/>
    <x v="3"/>
    <x v="0"/>
    <s v="سحارة"/>
    <s v="غير محدد"/>
    <s v="غير محدد"/>
    <x v="1"/>
    <s v="غير محدد"/>
    <s v="٢ كنبه سحاره بدون مخدع "/>
    <n v="6000"/>
    <n v="12000"/>
    <x v="5"/>
    <x v="1"/>
    <d v="2024-09-15T00:00:00"/>
    <d v="2024-09-17T00:00:00"/>
    <x v="0"/>
    <s v="محمود على"/>
    <x v="0"/>
    <x v="0"/>
  </r>
  <r>
    <x v="3"/>
    <x v="0"/>
    <x v="3"/>
    <s v="القاهره"/>
    <x v="3"/>
    <x v="4"/>
    <s v="فنيسيا"/>
    <s v="غير محدد"/>
    <s v="غير محدد"/>
    <x v="1"/>
    <s v="غير محدد"/>
    <s v="٢ فوتيه فنيسيا "/>
    <n v="9300"/>
    <n v="9300"/>
    <x v="7"/>
    <x v="2"/>
    <d v="2024-09-15T00:00:00"/>
    <d v="2024-09-17T00:00:00"/>
    <x v="0"/>
    <s v="محمود على"/>
    <x v="0"/>
    <x v="0"/>
  </r>
  <r>
    <x v="7"/>
    <x v="1"/>
    <x v="7"/>
    <s v="القاهره"/>
    <x v="2"/>
    <x v="1"/>
    <s v="دورين"/>
    <s v="نوفال"/>
    <n v="80"/>
    <x v="3"/>
    <s v="غير محدد"/>
    <s v="سرير نوفال ابيض مقاس ٨٠"/>
    <n v="10499"/>
    <n v="8924"/>
    <x v="8"/>
    <x v="2"/>
    <d v="2024-09-16T00:00:00"/>
    <d v="2024-09-08T00:00:00"/>
    <x v="1"/>
    <s v="شركه شحن"/>
    <x v="0"/>
    <x v="1"/>
  </r>
  <r>
    <x v="8"/>
    <x v="1"/>
    <x v="8"/>
    <s v="القاهره"/>
    <x v="2"/>
    <x v="3"/>
    <s v="2 ميكانزم"/>
    <s v="غير محدد"/>
    <s v="غير محدد"/>
    <x v="1"/>
    <s v="غير محدد"/>
    <s v="ترابيزه قهوه علويه جديده "/>
    <n v="7849"/>
    <s v="مسبق الدفع"/>
    <x v="7"/>
    <x v="2"/>
    <d v="2024-09-16T00:00:00"/>
    <d v="2024-09-25T00:00:00"/>
    <x v="0"/>
    <s v="شركه شحن"/>
    <x v="1"/>
    <x v="1"/>
  </r>
  <r>
    <x v="9"/>
    <x v="1"/>
    <x v="9"/>
    <s v="القاهره"/>
    <x v="4"/>
    <x v="1"/>
    <s v="دورين"/>
    <s v="كيفنج"/>
    <n v="120"/>
    <x v="0"/>
    <s v="غير محدد"/>
    <s v="٢ سرير كيفنج ١٢٠ اسود "/>
    <n v="6180"/>
    <n v="9700"/>
    <x v="9"/>
    <x v="2"/>
    <d v="2024-09-16T00:00:00"/>
    <d v="2024-09-15T00:00:00"/>
    <x v="1"/>
    <s v="محمود على"/>
    <x v="0"/>
    <x v="0"/>
  </r>
  <r>
    <x v="9"/>
    <x v="1"/>
    <x v="9"/>
    <s v="القاهره"/>
    <x v="4"/>
    <x v="1"/>
    <s v="دورين"/>
    <s v="كيفنج"/>
    <n v="120"/>
    <x v="0"/>
    <s v="غير محدد"/>
    <s v="٢ سرير كيفنج ١٢٠ اسود "/>
    <n v="6180"/>
    <n v="9700"/>
    <x v="9"/>
    <x v="2"/>
    <d v="2024-09-16T00:00:00"/>
    <d v="2024-09-15T00:00:00"/>
    <x v="1"/>
    <s v="محمود على"/>
    <x v="0"/>
    <x v="0"/>
  </r>
  <r>
    <x v="1"/>
    <x v="1"/>
    <x v="10"/>
    <s v="القاهره"/>
    <x v="2"/>
    <x v="1"/>
    <s v="فردى"/>
    <s v="فورجينا"/>
    <n v="80"/>
    <x v="3"/>
    <s v="غير محدد"/>
    <s v="٤سرير فردى خشب موسكى الحديد ابيض مقاس ٨٠"/>
    <n v="7987"/>
    <s v="مسبق الدفع"/>
    <x v="10"/>
    <x v="2"/>
    <d v="2024-09-16T00:00:00"/>
    <d v="2024-09-21T00:00:00"/>
    <x v="0"/>
    <s v="محمود على"/>
    <x v="0"/>
    <x v="0"/>
  </r>
  <r>
    <x v="1"/>
    <x v="1"/>
    <x v="10"/>
    <s v="القاهره"/>
    <x v="2"/>
    <x v="1"/>
    <s v="فردى"/>
    <s v="فورجينا"/>
    <n v="80"/>
    <x v="3"/>
    <s v="غير محدد"/>
    <s v="٤سرير فردى خشب موسكى الحديد ابيض مقاس ٨٠"/>
    <n v="7987"/>
    <s v="مسبق الدفع"/>
    <x v="10"/>
    <x v="2"/>
    <d v="2024-09-16T00:00:00"/>
    <d v="2024-09-21T00:00:00"/>
    <x v="0"/>
    <s v="محمود على"/>
    <x v="0"/>
    <x v="0"/>
  </r>
  <r>
    <x v="1"/>
    <x v="1"/>
    <x v="10"/>
    <s v="القاهره"/>
    <x v="2"/>
    <x v="1"/>
    <s v="فردى"/>
    <s v="فورجينا"/>
    <n v="80"/>
    <x v="3"/>
    <s v="غير محدد"/>
    <s v="٤سرير فردى خشب موسكى الحديد ابيض مقاس ٨٠"/>
    <n v="7987"/>
    <s v="مسبق الدفع"/>
    <x v="10"/>
    <x v="2"/>
    <d v="2024-09-16T00:00:00"/>
    <d v="2024-09-21T00:00:00"/>
    <x v="0"/>
    <s v="محمود على"/>
    <x v="0"/>
    <x v="0"/>
  </r>
  <r>
    <x v="1"/>
    <x v="1"/>
    <x v="10"/>
    <s v="القاهره"/>
    <x v="2"/>
    <x v="1"/>
    <s v="فردى"/>
    <s v="فورجينا"/>
    <n v="80"/>
    <x v="3"/>
    <s v="غير محدد"/>
    <s v="٤سرير فردى خشب موسكى الحديد ابيض مقاس ٨٠"/>
    <n v="7987"/>
    <s v="مسبق الدفع"/>
    <x v="10"/>
    <x v="2"/>
    <d v="2024-09-16T00:00:00"/>
    <d v="2024-09-21T00:00:00"/>
    <x v="0"/>
    <s v="محمود على"/>
    <x v="0"/>
    <x v="0"/>
  </r>
  <r>
    <x v="10"/>
    <x v="1"/>
    <x v="4"/>
    <s v="الجيزه"/>
    <x v="2"/>
    <x v="1"/>
    <s v="فردى"/>
    <s v="اسبانى"/>
    <n v="120"/>
    <x v="3"/>
    <s v="غير محدد"/>
    <s v="سرير اسبانى ابيض ١٢٠"/>
    <n v="10987"/>
    <s v="مسبق الدفع"/>
    <x v="11"/>
    <x v="2"/>
    <d v="2024-09-17T00:00:00"/>
    <d v="2024-09-21T00:00:00"/>
    <x v="0"/>
    <s v="محمود على"/>
    <x v="0"/>
    <x v="0"/>
  </r>
  <r>
    <x v="11"/>
    <x v="1"/>
    <x v="11"/>
    <s v="القاهره"/>
    <x v="2"/>
    <x v="1"/>
    <s v="دورين"/>
    <s v="كينج"/>
    <n v="80"/>
    <x v="3"/>
    <s v="غير محدد"/>
    <s v="سرير كينج ابيض مقاس ٨٠ التصميم الجديد "/>
    <n v="11199"/>
    <n v="11310"/>
    <x v="7"/>
    <x v="2"/>
    <d v="2024-09-18T00:00:00"/>
    <s v="-"/>
    <x v="2"/>
    <s v="فشل التسليم"/>
    <x v="1"/>
    <x v="2"/>
  </r>
  <r>
    <x v="0"/>
    <x v="0"/>
    <x v="0"/>
    <s v="القاهره"/>
    <x v="0"/>
    <x v="1"/>
    <s v="دورين"/>
    <s v="كينج"/>
    <n v="100"/>
    <x v="3"/>
    <s v="غير محدد"/>
    <s v="سرير كينج ابيض "/>
    <n v="9208"/>
    <n v="5781.75"/>
    <x v="8"/>
    <x v="2"/>
    <d v="2024-09-19T00:00:00"/>
    <d v="2024-09-21T00:00:00"/>
    <x v="0"/>
    <s v="محمود على"/>
    <x v="0"/>
    <x v="0"/>
  </r>
  <r>
    <x v="0"/>
    <x v="0"/>
    <x v="0"/>
    <s v="القاهره"/>
    <x v="0"/>
    <x v="1"/>
    <s v="دورين"/>
    <s v="كينج"/>
    <n v="100"/>
    <x v="0"/>
    <s v="غير محدد"/>
    <s v="سرير كينج اسود "/>
    <n v="9208"/>
    <n v="1278.53"/>
    <x v="8"/>
    <x v="2"/>
    <d v="2024-09-19T00:00:00"/>
    <d v="2024-09-21T00:00:00"/>
    <x v="0"/>
    <s v="محمود على"/>
    <x v="0"/>
    <x v="0"/>
  </r>
  <r>
    <x v="12"/>
    <x v="0"/>
    <x v="12"/>
    <s v="القليوبية"/>
    <x v="4"/>
    <x v="1"/>
    <s v="فردى"/>
    <s v="فورجينا"/>
    <n v="120"/>
    <x v="3"/>
    <s v="غير محدد"/>
    <s v="٢ سريرفورجينا خشب موسكى ابيض مقاس ١٢٠"/>
    <n v="4020"/>
    <s v="حساب شركه"/>
    <x v="12"/>
    <x v="2"/>
    <d v="2024-09-21T00:00:00"/>
    <d v="2024-09-22T00:00:00"/>
    <x v="0"/>
    <s v="محمود على"/>
    <x v="0"/>
    <x v="0"/>
  </r>
  <r>
    <x v="12"/>
    <x v="0"/>
    <x v="12"/>
    <s v="القليوبية"/>
    <x v="4"/>
    <x v="1"/>
    <s v="فردى"/>
    <s v="فورجينا"/>
    <n v="120"/>
    <x v="3"/>
    <s v="غير محدد"/>
    <s v="٢ سريرفورجينا خشب موسكى ابيض مقاس ١٢٠"/>
    <n v="4020"/>
    <s v="حساب شركه"/>
    <x v="12"/>
    <x v="2"/>
    <d v="2024-09-21T00:00:00"/>
    <d v="2024-09-22T00:00:00"/>
    <x v="0"/>
    <s v="محمود على"/>
    <x v="0"/>
    <x v="0"/>
  </r>
  <r>
    <x v="12"/>
    <x v="0"/>
    <x v="12"/>
    <s v="القليوبية"/>
    <x v="4"/>
    <x v="1"/>
    <s v="فردى"/>
    <s v="ارفيل"/>
    <n v="120"/>
    <x v="0"/>
    <s v="غير محدد"/>
    <s v="٢ سرير ارفيل ١٢٠ اسود "/>
    <n v="4020"/>
    <s v="مسبق الدفع "/>
    <x v="12"/>
    <x v="2"/>
    <d v="2024-09-21T00:00:00"/>
    <d v="2024-09-22T00:00:00"/>
    <x v="0"/>
    <s v="محمود على"/>
    <x v="0"/>
    <x v="0"/>
  </r>
  <r>
    <x v="12"/>
    <x v="0"/>
    <x v="12"/>
    <s v="القليوبية"/>
    <x v="4"/>
    <x v="1"/>
    <s v="فردى"/>
    <s v="ارفيل"/>
    <n v="120"/>
    <x v="0"/>
    <s v="غير محدد"/>
    <s v="٢ سرير ارفيل ١٢٠ اسود "/>
    <n v="4020"/>
    <s v="مسبق الدفع "/>
    <x v="12"/>
    <x v="2"/>
    <d v="2024-09-21T00:00:00"/>
    <d v="2024-09-22T00:00:00"/>
    <x v="0"/>
    <s v="محمود على"/>
    <x v="0"/>
    <x v="0"/>
  </r>
  <r>
    <x v="13"/>
    <x v="1"/>
    <x v="13"/>
    <s v="السويس"/>
    <x v="2"/>
    <x v="1"/>
    <s v="منطبق"/>
    <s v="غير محدد"/>
    <s v="غير محدد"/>
    <x v="0"/>
    <s v="اسود"/>
    <s v="سرير منطببق اسود وقماش اسود"/>
    <n v="9399"/>
    <s v="مسبق الدفع "/>
    <x v="13"/>
    <x v="2"/>
    <d v="2024-09-22T00:00:00"/>
    <s v="-"/>
    <x v="2"/>
    <s v="فشل التسليم"/>
    <x v="1"/>
    <x v="2"/>
  </r>
  <r>
    <x v="14"/>
    <x v="1"/>
    <x v="14"/>
    <s v="اسكندريه"/>
    <x v="2"/>
    <x v="3"/>
    <s v="رف سحاب"/>
    <s v="غير محدد"/>
    <s v="غير محدد"/>
    <x v="1"/>
    <s v="غير محدد"/>
    <s v="ترابيزه قهوه علويه برف سحاب "/>
    <n v="8349"/>
    <s v="مسبق الدفع "/>
    <x v="13"/>
    <x v="2"/>
    <d v="2024-09-22T00:00:00"/>
    <d v="2024-09-24T00:00:00"/>
    <x v="0"/>
    <s v="شركه شحن"/>
    <x v="0"/>
    <x v="1"/>
  </r>
  <r>
    <x v="15"/>
    <x v="1"/>
    <x v="4"/>
    <s v="الجيزه"/>
    <x v="2"/>
    <x v="1"/>
    <s v="منطبق"/>
    <s v="غير محدد"/>
    <s v="غير محدد"/>
    <x v="0"/>
    <s v="اسود"/>
    <s v="سرير منطبق اسود حديد وقماش"/>
    <n v="9399"/>
    <s v="مسبق الدفع"/>
    <x v="14"/>
    <x v="2"/>
    <d v="2024-09-24T00:00:00"/>
    <d v="2024-09-30T00:00:00"/>
    <x v="0"/>
    <s v="شركه شحن"/>
    <x v="0"/>
    <x v="1"/>
  </r>
  <r>
    <x v="16"/>
    <x v="1"/>
    <x v="15"/>
    <s v="القاهره"/>
    <x v="2"/>
    <x v="3"/>
    <s v="2 ميكانزم"/>
    <s v="غير محدد"/>
    <s v="غير محدد"/>
    <x v="1"/>
    <s v="غير محدد"/>
    <s v="ترابيزه قهوه علويه جديده "/>
    <n v="7849"/>
    <n v="7928"/>
    <x v="12"/>
    <x v="2"/>
    <d v="2024-09-26T00:00:00"/>
    <s v="-"/>
    <x v="2"/>
    <s v="شركه شحن"/>
    <x v="0"/>
    <x v="1"/>
  </r>
  <r>
    <x v="17"/>
    <x v="1"/>
    <x v="16"/>
    <s v="الجيزه"/>
    <x v="1"/>
    <x v="1"/>
    <s v="ثلاثه ادوار"/>
    <s v="كيفنج"/>
    <n v="100"/>
    <x v="0"/>
    <s v="غير محدد"/>
    <s v="سرير ٣ ادورا اسود مقاس ١٠٠ "/>
    <n v="9450"/>
    <n v="9450"/>
    <x v="12"/>
    <x v="2"/>
    <d v="2024-09-26T00:00:00"/>
    <s v="-"/>
    <x v="2"/>
    <s v="فشل التسليم"/>
    <x v="1"/>
    <x v="2"/>
  </r>
  <r>
    <x v="18"/>
    <x v="1"/>
    <x v="10"/>
    <s v="القاهره"/>
    <x v="2"/>
    <x v="1"/>
    <s v="فردى"/>
    <s v="اسبانى"/>
    <n v="120"/>
    <x v="0"/>
    <s v="غير محدد"/>
    <s v="سرير اسبانى اسود مقاس ١٢٠"/>
    <n v="7460"/>
    <s v="مسبق الدفع"/>
    <x v="14"/>
    <x v="2"/>
    <d v="2024-09-26T00:00:00"/>
    <d v="2024-10-03T00:00:00"/>
    <x v="0"/>
    <s v="محمود على"/>
    <x v="0"/>
    <x v="0"/>
  </r>
  <r>
    <x v="19"/>
    <x v="1"/>
    <x v="10"/>
    <s v="القاهره"/>
    <x v="2"/>
    <x v="1"/>
    <s v="فردى"/>
    <s v="كورين"/>
    <n v="140"/>
    <x v="4"/>
    <s v="رمادى"/>
    <s v="سرير كوين مقاس ١٤٠ دهبي ورمادى "/>
    <n v="9528"/>
    <s v="مسبق الدفع"/>
    <x v="14"/>
    <x v="2"/>
    <d v="2024-09-26T00:00:00"/>
    <d v="2024-10-03T00:00:00"/>
    <x v="0"/>
    <s v="محمود على"/>
    <x v="0"/>
    <x v="0"/>
  </r>
  <r>
    <x v="20"/>
    <x v="1"/>
    <x v="4"/>
    <s v="الجيزه"/>
    <x v="2"/>
    <x v="1"/>
    <s v="دورين"/>
    <s v="كيفنج"/>
    <n v="120"/>
    <x v="2"/>
    <s v="غير محدد"/>
    <s v="سرير كيفنج ١٢٠ رمادى "/>
    <n v="12999"/>
    <s v="مسبق الدفع"/>
    <x v="13"/>
    <x v="2"/>
    <d v="2024-09-27T00:00:00"/>
    <d v="2024-10-02T00:00:00"/>
    <x v="0"/>
    <s v="محمود على"/>
    <x v="0"/>
    <x v="0"/>
  </r>
  <r>
    <x v="21"/>
    <x v="1"/>
    <x v="17"/>
    <s v="القاهره"/>
    <x v="2"/>
    <x v="1"/>
    <s v="دورين"/>
    <s v="نوفال"/>
    <n v="90"/>
    <x v="0"/>
    <s v="غير محدد"/>
    <s v="سرير نوفال  ٩٠ اسود "/>
    <n v="5999"/>
    <s v="مسبق الدفع"/>
    <x v="12"/>
    <x v="2"/>
    <d v="2024-09-29T00:00:00"/>
    <s v="-"/>
    <x v="2"/>
    <s v="غير محدد"/>
    <x v="2"/>
    <x v="3"/>
  </r>
  <r>
    <x v="22"/>
    <x v="1"/>
    <x v="18"/>
    <s v="القاهره"/>
    <x v="2"/>
    <x v="1"/>
    <s v="دورين"/>
    <s v="كيفنج"/>
    <n v="100"/>
    <x v="0"/>
    <s v="غير محدد"/>
    <s v="            ٢ سرير كيفنج ١٠٠ اسود "/>
    <n v="11949"/>
    <n v="10749"/>
    <x v="12"/>
    <x v="2"/>
    <d v="2024-09-29T00:00:00"/>
    <d v="2024-10-02T00:00:00"/>
    <x v="0"/>
    <s v="محمود على"/>
    <x v="0"/>
    <x v="0"/>
  </r>
  <r>
    <x v="22"/>
    <x v="1"/>
    <x v="18"/>
    <s v="القاهره"/>
    <x v="2"/>
    <x v="1"/>
    <s v="دورين"/>
    <s v="كيفنج"/>
    <n v="100"/>
    <x v="0"/>
    <s v="غير محدد"/>
    <s v="            ٢ سرير كيفنج ١٠٠ اسود "/>
    <n v="11949"/>
    <n v="10749"/>
    <x v="12"/>
    <x v="2"/>
    <d v="2024-09-29T00:00:00"/>
    <d v="2024-10-02T00:00:00"/>
    <x v="0"/>
    <s v="محمود على"/>
    <x v="0"/>
    <x v="0"/>
  </r>
  <r>
    <x v="1"/>
    <x v="1"/>
    <x v="19"/>
    <s v="القاهره"/>
    <x v="2"/>
    <x v="1"/>
    <s v="ثلاثه ادوار"/>
    <s v="كيفنج"/>
    <n v="80"/>
    <x v="3"/>
    <s v="غير محدد"/>
    <s v="سرير ٣ ادوار ابيض مقاس ٨٠ ابيض "/>
    <n v="16599"/>
    <s v="مسبق الدفع"/>
    <x v="14"/>
    <x v="2"/>
    <d v="2024-09-30T00:00:00"/>
    <d v="2024-10-03T00:00:00"/>
    <x v="0"/>
    <s v="محمود على"/>
    <x v="0"/>
    <x v="0"/>
  </r>
  <r>
    <x v="23"/>
    <x v="1"/>
    <x v="5"/>
    <s v="البحر الاحمر"/>
    <x v="2"/>
    <x v="1"/>
    <s v="دورين"/>
    <s v="كيفنج"/>
    <n v="80"/>
    <x v="3"/>
    <s v="غير محدد"/>
    <s v="سرير كيفنج دورين مقاس ٨٠ ابيض "/>
    <n v="10999"/>
    <s v="مسبق الدفع"/>
    <x v="14"/>
    <x v="2"/>
    <d v="2024-09-30T00:00:00"/>
    <d v="2024-10-16T00:00:00"/>
    <x v="0"/>
    <s v="شركه شحن"/>
    <x v="0"/>
    <x v="1"/>
  </r>
  <r>
    <x v="24"/>
    <x v="1"/>
    <x v="20"/>
    <s v="السويس"/>
    <x v="2"/>
    <x v="1"/>
    <s v="دورين"/>
    <s v="كيفنج"/>
    <n v="140"/>
    <x v="5"/>
    <s v="غير محدد"/>
    <s v="سرير استيل ازرق مقاس ١٤٠"/>
    <n v="13099"/>
    <s v="مسبق الدفع"/>
    <x v="14"/>
    <x v="2"/>
    <d v="2024-09-30T00:00:00"/>
    <d v="2024-10-03T00:00:00"/>
    <x v="0"/>
    <s v="شركه شحن"/>
    <x v="0"/>
    <x v="1"/>
  </r>
  <r>
    <x v="25"/>
    <x v="1"/>
    <x v="4"/>
    <s v="الجيزه"/>
    <x v="2"/>
    <x v="1"/>
    <s v="دورين"/>
    <s v="كينج"/>
    <n v="120"/>
    <x v="6"/>
    <s v="غير محدد"/>
    <s v="سرير كينج ١٢٠ بنفسجى "/>
    <n v="13849"/>
    <s v="مسبق الدفع"/>
    <x v="14"/>
    <x v="2"/>
    <d v="2024-09-30T00:00:00"/>
    <d v="2024-10-20T00:00:00"/>
    <x v="0"/>
    <s v="محمود على"/>
    <x v="0"/>
    <x v="0"/>
  </r>
  <r>
    <x v="26"/>
    <x v="1"/>
    <x v="21"/>
    <s v="القاهره"/>
    <x v="2"/>
    <x v="0"/>
    <s v="4*1"/>
    <s v="غير محدد"/>
    <s v="غير محدد"/>
    <x v="0"/>
    <s v="رمادى"/>
    <s v="كنبه سرير ٤ حركه "/>
    <n v="21999"/>
    <s v="مسبق الدفع"/>
    <x v="14"/>
    <x v="2"/>
    <d v="2024-09-30T00:00:00"/>
    <s v="-"/>
    <x v="2"/>
    <s v="محمود على"/>
    <x v="0"/>
    <x v="0"/>
  </r>
  <r>
    <x v="27"/>
    <x v="1"/>
    <x v="4"/>
    <s v="الجيزه"/>
    <x v="2"/>
    <x v="1"/>
    <s v="دورين"/>
    <s v="كيفنج"/>
    <n v="80"/>
    <x v="3"/>
    <s v="غير محدد"/>
    <s v="سرير كيفنج دورين مقاس ٨٠ ابيض "/>
    <n v="10999"/>
    <s v="مسبق الدفع"/>
    <x v="14"/>
    <x v="2"/>
    <d v="2024-09-30T00:00:00"/>
    <d v="2024-10-15T00:00:00"/>
    <x v="0"/>
    <s v="محمود على"/>
    <x v="0"/>
    <x v="0"/>
  </r>
  <r>
    <x v="28"/>
    <x v="1"/>
    <x v="22"/>
    <s v="القاهره"/>
    <x v="2"/>
    <x v="1"/>
    <s v="ثلاثه ادوار"/>
    <s v="كيفنج"/>
    <n v="90"/>
    <x v="0"/>
    <s v="غير محدد"/>
    <s v="سرير ٣ ادوار اسود مقاس ٩٠ "/>
    <n v="17249"/>
    <s v="مسبق الدفع"/>
    <x v="14"/>
    <x v="2"/>
    <d v="2024-09-30T00:00:00"/>
    <d v="2024-10-04T00:00:00"/>
    <x v="0"/>
    <s v="محمود على"/>
    <x v="0"/>
    <x v="0"/>
  </r>
  <r>
    <x v="12"/>
    <x v="0"/>
    <x v="23"/>
    <s v="القليوبية"/>
    <x v="4"/>
    <x v="1"/>
    <s v="دورين"/>
    <s v="كيفنج"/>
    <n v="80"/>
    <x v="3"/>
    <s v="غير محدد"/>
    <m/>
    <n v="5074"/>
    <s v="حساب شركه"/>
    <x v="15"/>
    <x v="2"/>
    <d v="2024-10-05T00:00:00"/>
    <d v="2024-10-12T00:00:00"/>
    <x v="0"/>
    <s v="محمود على"/>
    <x v="0"/>
    <x v="0"/>
  </r>
  <r>
    <x v="3"/>
    <x v="0"/>
    <x v="3"/>
    <s v="القاهره"/>
    <x v="3"/>
    <x v="1"/>
    <s v="دورين"/>
    <s v="كينج"/>
    <n v="100"/>
    <x v="7"/>
    <s v="غير محدد"/>
    <m/>
    <n v="6250"/>
    <s v="حساب شركه"/>
    <x v="16"/>
    <x v="2"/>
    <d v="2024-10-08T00:00:00"/>
    <d v="2024-10-17T00:00:00"/>
    <x v="0"/>
    <s v="محمود على"/>
    <x v="0"/>
    <x v="0"/>
  </r>
  <r>
    <x v="29"/>
    <x v="1"/>
    <x v="24"/>
    <s v="السويس "/>
    <x v="5"/>
    <x v="1"/>
    <s v="دورين"/>
    <s v="فانتاستك"/>
    <n v="100"/>
    <x v="8"/>
    <s v="غير محدد"/>
    <m/>
    <n v="8544.9054400000005"/>
    <m/>
    <x v="17"/>
    <x v="3"/>
    <d v="2024-10-09T00:00:00"/>
    <d v="2024-10-09T00:00:00"/>
    <x v="0"/>
    <s v="الحج سيد"/>
    <x v="0"/>
    <x v="4"/>
  </r>
  <r>
    <x v="29"/>
    <x v="1"/>
    <x v="24"/>
    <s v="السويس "/>
    <x v="5"/>
    <x v="1"/>
    <s v="منطبق"/>
    <s v="غير محدد"/>
    <s v="غير محدد"/>
    <x v="0"/>
    <s v="بيج"/>
    <m/>
    <n v="4600"/>
    <m/>
    <x v="17"/>
    <x v="3"/>
    <d v="2024-10-09T00:00:00"/>
    <d v="2024-10-09T00:00:00"/>
    <x v="0"/>
    <s v="الحج سيد"/>
    <x v="0"/>
    <x v="4"/>
  </r>
  <r>
    <x v="29"/>
    <x v="1"/>
    <x v="24"/>
    <s v="السويس "/>
    <x v="5"/>
    <x v="0"/>
    <s v="فنيسيا"/>
    <s v="غير محدد"/>
    <s v="غير محدد"/>
    <x v="0"/>
    <s v="رصاصي مشجر"/>
    <m/>
    <n v="10000"/>
    <m/>
    <x v="17"/>
    <x v="3"/>
    <d v="2024-10-09T00:00:00"/>
    <d v="2024-10-09T00:00:00"/>
    <x v="0"/>
    <s v="الحج سيد"/>
    <x v="0"/>
    <x v="4"/>
  </r>
  <r>
    <x v="29"/>
    <x v="1"/>
    <x v="24"/>
    <s v="السويس "/>
    <x v="5"/>
    <x v="5"/>
    <s v="غير محدد"/>
    <s v="غير محدد"/>
    <s v="غير محدد"/>
    <x v="0"/>
    <s v="نبيتى "/>
    <s v="شيزلونج"/>
    <n v="10045"/>
    <m/>
    <x v="17"/>
    <x v="3"/>
    <d v="2024-10-09T00:00:00"/>
    <d v="2024-10-09T00:00:00"/>
    <x v="0"/>
    <s v="الحج سيد"/>
    <x v="0"/>
    <x v="4"/>
  </r>
  <r>
    <x v="12"/>
    <x v="0"/>
    <x v="23"/>
    <s v="القليوبية"/>
    <x v="4"/>
    <x v="1"/>
    <s v="فردى"/>
    <s v="فورجينا"/>
    <n v="120"/>
    <x v="3"/>
    <s v="غير محدد"/>
    <m/>
    <n v="4020"/>
    <s v="حساب شركه"/>
    <x v="18"/>
    <x v="2"/>
    <d v="2024-10-12T00:00:00"/>
    <d v="2024-10-12T00:00:00"/>
    <x v="0"/>
    <s v="محمود على"/>
    <x v="0"/>
    <x v="0"/>
  </r>
  <r>
    <x v="0"/>
    <x v="0"/>
    <x v="9"/>
    <s v="القاهره"/>
    <x v="0"/>
    <x v="0"/>
    <s v="4*1"/>
    <s v="غير محدد"/>
    <s v="غير محدد"/>
    <x v="1"/>
    <s v="نبيتى "/>
    <m/>
    <n v="14950"/>
    <s v="مسبق الدفع"/>
    <x v="19"/>
    <x v="2"/>
    <d v="2024-10-14T00:00:00"/>
    <d v="2024-10-13T00:00:00"/>
    <x v="1"/>
    <s v="محمود على"/>
    <x v="0"/>
    <x v="0"/>
  </r>
  <r>
    <x v="0"/>
    <x v="0"/>
    <x v="0"/>
    <s v="القاهره"/>
    <x v="0"/>
    <x v="1"/>
    <s v="دورين"/>
    <s v="كينج"/>
    <n v="100"/>
    <x v="0"/>
    <s v="غير محدد"/>
    <m/>
    <n v="9208"/>
    <n v="9608"/>
    <x v="19"/>
    <x v="2"/>
    <d v="2024-10-14T00:00:00"/>
    <s v="-"/>
    <x v="2"/>
    <s v="فشل التسليم"/>
    <x v="1"/>
    <x v="2"/>
  </r>
  <r>
    <x v="30"/>
    <x v="1"/>
    <x v="22"/>
    <s v="القاهره"/>
    <x v="2"/>
    <x v="3"/>
    <s v="2 ميكانزم"/>
    <s v="غير محدد"/>
    <s v="غير محدد"/>
    <x v="1"/>
    <s v="غير محدد"/>
    <s v="ترابيزه قهوه علويه جديده "/>
    <n v="8849"/>
    <s v="مسبق الدفع"/>
    <x v="9"/>
    <x v="2"/>
    <d v="2024-10-16T00:00:00"/>
    <s v="-"/>
    <x v="2"/>
    <s v="فشل التسليم"/>
    <x v="1"/>
    <x v="2"/>
  </r>
  <r>
    <x v="31"/>
    <x v="1"/>
    <x v="25"/>
    <s v="الجيزه"/>
    <x v="2"/>
    <x v="3"/>
    <s v="2 ميكانزم"/>
    <s v="غير محدد"/>
    <s v="غير محدد"/>
    <x v="1"/>
    <s v="غير محدد"/>
    <s v="تربيزه قهوه ٢ رافع"/>
    <n v="8349"/>
    <s v="مسبق الدفع"/>
    <x v="13"/>
    <x v="2"/>
    <d v="2024-10-16T00:00:00"/>
    <d v="2024-10-21T00:00:00"/>
    <x v="0"/>
    <s v="محمود على"/>
    <x v="0"/>
    <x v="0"/>
  </r>
  <r>
    <x v="0"/>
    <x v="0"/>
    <x v="0"/>
    <s v="القاهره"/>
    <x v="0"/>
    <x v="1"/>
    <s v="فردى"/>
    <s v="اسبانى"/>
    <n v="120"/>
    <x v="3"/>
    <s v="غير محدد"/>
    <m/>
    <n v="7433"/>
    <s v="مسبق الدفع"/>
    <x v="18"/>
    <x v="2"/>
    <d v="2024-10-20T00:00:00"/>
    <d v="2024-10-21T00:00:00"/>
    <x v="0"/>
    <s v="محمود على"/>
    <x v="0"/>
    <x v="0"/>
  </r>
  <r>
    <x v="32"/>
    <x v="1"/>
    <x v="8"/>
    <s v="القاهره"/>
    <x v="2"/>
    <x v="3"/>
    <s v="بمكتبة"/>
    <s v="غير محدد"/>
    <s v="غير محدد"/>
    <x v="1"/>
    <s v="غير محدد"/>
    <s v="ترابيزه قهوه متحركه "/>
    <n v="7849"/>
    <s v="مسبق الدفع"/>
    <x v="13"/>
    <x v="2"/>
    <d v="2024-10-29T00:00:00"/>
    <d v="2024-10-30T00:00:00"/>
    <x v="0"/>
    <s v="محمود على"/>
    <x v="0"/>
    <x v="0"/>
  </r>
  <r>
    <x v="33"/>
    <x v="1"/>
    <x v="4"/>
    <s v="الجيزه"/>
    <x v="2"/>
    <x v="1"/>
    <s v="منطبق"/>
    <s v="غير محدد"/>
    <s v="غير محدد"/>
    <x v="0"/>
    <s v="اسود"/>
    <s v="سرير منطبق اسود حديد ومعدن "/>
    <n v="9399"/>
    <s v="مسبق الدفع "/>
    <x v="13"/>
    <x v="2"/>
    <d v="2024-10-29T00:00:00"/>
    <d v="2024-10-15T00:00:00"/>
    <x v="1"/>
    <s v="محمود على"/>
    <x v="0"/>
    <x v="0"/>
  </r>
  <r>
    <x v="34"/>
    <x v="1"/>
    <x v="26"/>
    <s v="الجيزه"/>
    <x v="2"/>
    <x v="1"/>
    <s v="فردى"/>
    <s v="اسبانى"/>
    <n v="140"/>
    <x v="0"/>
    <s v="غير محدد"/>
    <s v="سرير اسبانى  ١٤٠ اسود وبيج "/>
    <n v="11817"/>
    <s v="مسبق الدفع "/>
    <x v="13"/>
    <x v="2"/>
    <d v="2024-10-29T00:00:00"/>
    <d v="2024-10-15T00:00:00"/>
    <x v="1"/>
    <s v="محمود على"/>
    <x v="0"/>
    <x v="0"/>
  </r>
  <r>
    <x v="35"/>
    <x v="1"/>
    <x v="19"/>
    <s v="القاهره"/>
    <x v="2"/>
    <x v="3"/>
    <s v="رف سحاب"/>
    <s v="غير محدد"/>
    <s v="غير محدد"/>
    <x v="1"/>
    <s v="غير محدد"/>
    <s v="تربيزه قهوه مرتفعه برف سحاب "/>
    <n v="8349"/>
    <s v="مسبق الدفع "/>
    <x v="13"/>
    <x v="2"/>
    <d v="2024-10-29T00:00:00"/>
    <d v="2024-10-19T00:00:00"/>
    <x v="1"/>
    <s v="محمود على"/>
    <x v="0"/>
    <x v="0"/>
  </r>
  <r>
    <x v="36"/>
    <x v="1"/>
    <x v="27"/>
    <s v="القاهره"/>
    <x v="2"/>
    <x v="1"/>
    <s v="فردى"/>
    <s v="فورجينا"/>
    <n v="120"/>
    <x v="3"/>
    <s v="غير محدد"/>
    <s v=" ٢. سرير فورجينا ابيض مقاس ١٢٠"/>
    <n v="17886"/>
    <s v="مسبق الدفع "/>
    <x v="13"/>
    <x v="2"/>
    <d v="2024-10-29T00:00:00"/>
    <s v="-"/>
    <x v="2"/>
    <s v="فشل التسليم"/>
    <x v="1"/>
    <x v="2"/>
  </r>
  <r>
    <x v="36"/>
    <x v="1"/>
    <x v="27"/>
    <s v="القاهره"/>
    <x v="2"/>
    <x v="1"/>
    <s v="فردى"/>
    <s v="فورجينا"/>
    <n v="120"/>
    <x v="3"/>
    <s v="غير محدد"/>
    <s v=" ٢. سرير فورجينا ابيض مقاس ١٢٠"/>
    <n v="17886"/>
    <s v="مسبق الدفع "/>
    <x v="13"/>
    <x v="2"/>
    <d v="2024-10-29T00:00:00"/>
    <s v="-"/>
    <x v="2"/>
    <s v="فشل التسليم"/>
    <x v="1"/>
    <x v="2"/>
  </r>
  <r>
    <x v="37"/>
    <x v="1"/>
    <x v="10"/>
    <s v="القاهره"/>
    <x v="2"/>
    <x v="1"/>
    <s v="فردى"/>
    <s v="اسبانى"/>
    <n v="120"/>
    <x v="3"/>
    <s v="غير محدد"/>
    <s v="   ٢. سرير اسبانى ابيض ١٢٠"/>
    <n v="10987"/>
    <s v="مسبق الدفع"/>
    <x v="13"/>
    <x v="2"/>
    <d v="2024-10-29T00:00:00"/>
    <d v="2024-10-13T00:00:00"/>
    <x v="1"/>
    <s v="محمود على"/>
    <x v="0"/>
    <x v="0"/>
  </r>
  <r>
    <x v="37"/>
    <x v="1"/>
    <x v="10"/>
    <s v="القاهره"/>
    <x v="2"/>
    <x v="1"/>
    <s v="فردى"/>
    <s v="اسبانى"/>
    <n v="120"/>
    <x v="3"/>
    <s v="غير محدد"/>
    <s v="   ٢. سرير اسبانى ابيض ١٢٠"/>
    <n v="10987"/>
    <s v="مسبق الدفع"/>
    <x v="13"/>
    <x v="2"/>
    <d v="2024-10-29T00:00:00"/>
    <d v="2024-10-13T00:00:00"/>
    <x v="1"/>
    <s v="محمود على"/>
    <x v="0"/>
    <x v="0"/>
  </r>
  <r>
    <x v="38"/>
    <x v="1"/>
    <x v="28"/>
    <s v="القاهره"/>
    <x v="2"/>
    <x v="3"/>
    <s v="2 ميكانزم"/>
    <s v="غير محدد"/>
    <s v="غير محدد"/>
    <x v="1"/>
    <s v="غير محدد"/>
    <s v="ترابيزه قهوه علويه جديده "/>
    <n v="10319"/>
    <s v="مسبق الدفع"/>
    <x v="13"/>
    <x v="2"/>
    <d v="2024-10-29T00:00:00"/>
    <d v="2024-10-19T00:00:00"/>
    <x v="1"/>
    <s v="محمود على"/>
    <x v="0"/>
    <x v="0"/>
  </r>
  <r>
    <x v="0"/>
    <x v="0"/>
    <x v="0"/>
    <s v="القاهره"/>
    <x v="0"/>
    <x v="0"/>
    <s v="4*1"/>
    <s v="غير محدد"/>
    <s v="غير محدد"/>
    <x v="0"/>
    <s v="بترولى "/>
    <m/>
    <n v="14550"/>
    <s v="مسبق الدفع"/>
    <x v="20"/>
    <x v="3"/>
    <d v="2024-10-29T00:00:00"/>
    <d v="2024-10-30T00:00:00"/>
    <x v="0"/>
    <s v="محمود على"/>
    <x v="0"/>
    <x v="0"/>
  </r>
  <r>
    <x v="0"/>
    <x v="0"/>
    <x v="4"/>
    <s v="الجيزه"/>
    <x v="0"/>
    <x v="0"/>
    <s v="4*1"/>
    <s v="غير محدد"/>
    <s v="غير محدد"/>
    <x v="0"/>
    <s v="بترولى "/>
    <m/>
    <n v="14550"/>
    <s v="مسبق الدفع"/>
    <x v="21"/>
    <x v="3"/>
    <d v="2024-10-29T00:00:00"/>
    <d v="2024-10-15T00:00:00"/>
    <x v="1"/>
    <s v="محمود على"/>
    <x v="0"/>
    <x v="0"/>
  </r>
  <r>
    <x v="39"/>
    <x v="1"/>
    <x v="13"/>
    <s v="السويس"/>
    <x v="2"/>
    <x v="3"/>
    <s v="2 ميكانزم"/>
    <s v="غير محدد"/>
    <s v="غير محدد"/>
    <x v="1"/>
    <s v="غير محدد"/>
    <m/>
    <n v="7849"/>
    <n v="6306"/>
    <x v="22"/>
    <x v="2"/>
    <d v="2024-10-30T00:00:00"/>
    <d v="2024-11-14T00:00:00"/>
    <x v="0"/>
    <s v="شركه شحن"/>
    <x v="0"/>
    <x v="1"/>
  </r>
  <r>
    <x v="0"/>
    <x v="0"/>
    <x v="0"/>
    <s v="القاهره"/>
    <x v="0"/>
    <x v="0"/>
    <s v="4*1"/>
    <s v="غير محدد"/>
    <s v="غير محدد"/>
    <x v="0"/>
    <s v="نبيتى "/>
    <m/>
    <n v="14550"/>
    <n v="11495"/>
    <x v="23"/>
    <x v="3"/>
    <d v="2024-10-31T00:00:00"/>
    <d v="2024-11-02T00:00:00"/>
    <x v="0"/>
    <s v="محمود على"/>
    <x v="0"/>
    <x v="0"/>
  </r>
  <r>
    <x v="40"/>
    <x v="1"/>
    <x v="3"/>
    <s v="القاهره"/>
    <x v="2"/>
    <x v="1"/>
    <s v="فردى"/>
    <s v="فورجينا"/>
    <n v="120"/>
    <x v="3"/>
    <s v="غير محدد"/>
    <m/>
    <n v="8943"/>
    <n v="9033"/>
    <x v="19"/>
    <x v="2"/>
    <d v="2024-11-10T00:00:00"/>
    <d v="2024-10-10T00:00:00"/>
    <x v="1"/>
    <s v="محمود على"/>
    <x v="0"/>
    <x v="0"/>
  </r>
  <r>
    <x v="41"/>
    <x v="1"/>
    <x v="4"/>
    <s v="الجيزه"/>
    <x v="2"/>
    <x v="3"/>
    <s v="رف سحاب"/>
    <s v="غير محدد"/>
    <s v="غير محدد"/>
    <x v="1"/>
    <s v="غير محدد"/>
    <m/>
    <n v="8349"/>
    <n v="8433"/>
    <x v="19"/>
    <x v="2"/>
    <d v="2024-11-10T00:00:00"/>
    <s v="-"/>
    <x v="2"/>
    <s v="فشل التسليم"/>
    <x v="1"/>
    <x v="2"/>
  </r>
  <r>
    <x v="37"/>
    <x v="1"/>
    <x v="26"/>
    <s v="الجيزه"/>
    <x v="2"/>
    <x v="1"/>
    <s v="دورين"/>
    <s v="كينج"/>
    <n v="90"/>
    <x v="0"/>
    <s v="غير محدد"/>
    <m/>
    <n v="11649"/>
    <n v="11749"/>
    <x v="24"/>
    <x v="3"/>
    <d v="2024-11-10T00:00:00"/>
    <d v="2024-11-18T00:00:00"/>
    <x v="0"/>
    <s v="محمود على"/>
    <x v="0"/>
    <x v="0"/>
  </r>
  <r>
    <x v="37"/>
    <x v="1"/>
    <x v="26"/>
    <s v="الجيزه"/>
    <x v="2"/>
    <x v="1"/>
    <s v="دورين"/>
    <s v="كينج"/>
    <n v="90"/>
    <x v="0"/>
    <s v="غير محدد"/>
    <m/>
    <n v="11649"/>
    <n v="11749"/>
    <x v="24"/>
    <x v="3"/>
    <d v="2024-11-10T00:00:00"/>
    <d v="2024-11-18T00:00:00"/>
    <x v="0"/>
    <s v="محمود على"/>
    <x v="0"/>
    <x v="0"/>
  </r>
  <r>
    <x v="42"/>
    <x v="1"/>
    <x v="22"/>
    <s v="القاهره"/>
    <x v="2"/>
    <x v="1"/>
    <s v="فردى"/>
    <s v="اسبانى"/>
    <n v="100"/>
    <x v="3"/>
    <s v="غير محدد"/>
    <m/>
    <n v="5100"/>
    <n v="4800"/>
    <x v="25"/>
    <x v="3"/>
    <d v="2024-11-11T00:00:00"/>
    <d v="2024-11-21T00:00:00"/>
    <x v="0"/>
    <s v="محمود على"/>
    <x v="0"/>
    <x v="0"/>
  </r>
  <r>
    <x v="42"/>
    <x v="1"/>
    <x v="22"/>
    <s v="القاهره"/>
    <x v="2"/>
    <x v="1"/>
    <s v="فردى"/>
    <s v="اسبانى"/>
    <n v="120"/>
    <x v="3"/>
    <s v="غير محدد"/>
    <m/>
    <n v="5300"/>
    <n v="4800"/>
    <x v="25"/>
    <x v="3"/>
    <d v="2024-11-11T00:00:00"/>
    <d v="2024-11-21T00:00:00"/>
    <x v="0"/>
    <s v="محمود على"/>
    <x v="0"/>
    <x v="0"/>
  </r>
  <r>
    <x v="0"/>
    <x v="0"/>
    <x v="4"/>
    <s v="الجيزه"/>
    <x v="0"/>
    <x v="1"/>
    <s v="دورين"/>
    <s v="فانتستيك"/>
    <n v="100"/>
    <x v="9"/>
    <s v="غير محدد"/>
    <m/>
    <n v="12777.5"/>
    <n v="11277.5"/>
    <x v="26"/>
    <x v="3"/>
    <d v="2024-11-12T00:00:00"/>
    <d v="2024-11-18T00:00:00"/>
    <x v="0"/>
    <s v="محمود على"/>
    <x v="0"/>
    <x v="0"/>
  </r>
  <r>
    <x v="0"/>
    <x v="0"/>
    <x v="4"/>
    <s v="الجيزه"/>
    <x v="0"/>
    <x v="1"/>
    <s v="دورين"/>
    <s v="فانتستيك"/>
    <n v="100"/>
    <x v="9"/>
    <s v="غير محدد"/>
    <m/>
    <n v="12777.5"/>
    <n v="11277.5"/>
    <x v="26"/>
    <x v="3"/>
    <d v="2024-11-12T00:00:00"/>
    <d v="2024-11-18T00:00:00"/>
    <x v="0"/>
    <s v="محمود على"/>
    <x v="0"/>
    <x v="0"/>
  </r>
  <r>
    <x v="43"/>
    <x v="1"/>
    <x v="4"/>
    <s v="الجيزه"/>
    <x v="2"/>
    <x v="1"/>
    <s v="فردى"/>
    <s v="فورجينا"/>
    <n v="120"/>
    <x v="3"/>
    <s v="غير محدد"/>
    <m/>
    <n v="8943"/>
    <n v="9007.01"/>
    <x v="27"/>
    <x v="3"/>
    <d v="2024-11-14T00:00:00"/>
    <d v="2024-11-18T00:00:00"/>
    <x v="0"/>
    <s v="محمود على"/>
    <x v="0"/>
    <x v="0"/>
  </r>
  <r>
    <x v="0"/>
    <x v="0"/>
    <x v="0"/>
    <s v="القاهره"/>
    <x v="0"/>
    <x v="0"/>
    <s v="4*1"/>
    <s v="غير محدد"/>
    <s v="غير محدد"/>
    <x v="0"/>
    <s v="غير محدد"/>
    <m/>
    <n v="15516"/>
    <s v="مسبق الدفع"/>
    <x v="28"/>
    <x v="3"/>
    <d v="2024-11-14T00:00:00"/>
    <d v="2024-10-30T00:00:00"/>
    <x v="1"/>
    <s v="محمود على"/>
    <x v="0"/>
    <x v="0"/>
  </r>
  <r>
    <x v="0"/>
    <x v="0"/>
    <x v="0"/>
    <s v="القاهره"/>
    <x v="0"/>
    <x v="1"/>
    <s v="دورين"/>
    <s v="كينج"/>
    <n v="100"/>
    <x v="0"/>
    <s v="غير محدد"/>
    <m/>
    <n v="10045"/>
    <n v="8879"/>
    <x v="24"/>
    <x v="3"/>
    <d v="2024-11-16T00:00:00"/>
    <s v="-"/>
    <x v="2"/>
    <s v="فشل التسليم"/>
    <x v="1"/>
    <x v="2"/>
  </r>
  <r>
    <x v="44"/>
    <x v="1"/>
    <x v="29"/>
    <s v="القاهره"/>
    <x v="2"/>
    <x v="1"/>
    <s v="منطبق"/>
    <s v="غير محدد"/>
    <s v="غير محدد"/>
    <x v="0"/>
    <s v="اسود"/>
    <m/>
    <n v="8899"/>
    <n v="8988"/>
    <x v="29"/>
    <x v="3"/>
    <d v="2024-11-17T00:00:00"/>
    <s v="-"/>
    <x v="2"/>
    <s v="غير محدد"/>
    <x v="2"/>
    <x v="3"/>
  </r>
  <r>
    <x v="45"/>
    <x v="1"/>
    <x v="8"/>
    <s v="القاهره"/>
    <x v="6"/>
    <x v="1"/>
    <s v="فردى"/>
    <s v="بلحه"/>
    <n v="140"/>
    <x v="10"/>
    <s v="خشب بنى فاتح"/>
    <m/>
    <n v="5135"/>
    <s v="مسبق الدفع"/>
    <x v="30"/>
    <x v="3"/>
    <d v="2024-11-17T00:00:00"/>
    <d v="2024-11-14T00:00:00"/>
    <x v="1"/>
    <s v="محمود على"/>
    <x v="0"/>
    <x v="0"/>
  </r>
  <r>
    <x v="46"/>
    <x v="1"/>
    <x v="30"/>
    <s v="اسيوط"/>
    <x v="2"/>
    <x v="1"/>
    <s v="دورين"/>
    <s v="كيفنج"/>
    <n v="120"/>
    <x v="2"/>
    <s v="غير محدد"/>
    <s v="سرير كيفنج دورين مقاس ١٢٠ رمادى "/>
    <n v="12999"/>
    <s v="مسبق الدفع "/>
    <x v="13"/>
    <x v="2"/>
    <d v="2024-11-20T00:00:00"/>
    <d v="2024-10-17T00:00:00"/>
    <x v="1"/>
    <s v="شركه شحن"/>
    <x v="0"/>
    <x v="1"/>
  </r>
  <r>
    <x v="47"/>
    <x v="1"/>
    <x v="31"/>
    <s v="البحر الاحمر"/>
    <x v="2"/>
    <x v="0"/>
    <s v="4*1"/>
    <s v="غير محدد"/>
    <s v="غير محدد"/>
    <x v="0"/>
    <s v="رمادى"/>
    <s v="كنبه سرير ٤ حركه "/>
    <n v="21999"/>
    <s v="مسبق الدفع"/>
    <x v="13"/>
    <x v="2"/>
    <d v="2024-11-20T00:00:00"/>
    <s v="-"/>
    <x v="2"/>
    <s v="فشل التسليم"/>
    <x v="1"/>
    <x v="2"/>
  </r>
  <r>
    <x v="48"/>
    <x v="1"/>
    <x v="19"/>
    <s v="القاهره"/>
    <x v="2"/>
    <x v="1"/>
    <s v="دورين"/>
    <s v="نوفال"/>
    <n v="100"/>
    <x v="2"/>
    <s v="غير محدد"/>
    <s v="سرير نوفال ١٠٠ رمادى "/>
    <n v="12399"/>
    <s v="مسبق الدفع"/>
    <x v="13"/>
    <x v="2"/>
    <d v="2024-11-20T00:00:00"/>
    <d v="2024-10-01T00:00:00"/>
    <x v="1"/>
    <s v="شركه شحن"/>
    <x v="0"/>
    <x v="1"/>
  </r>
  <r>
    <x v="49"/>
    <x v="1"/>
    <x v="10"/>
    <s v="القاهره"/>
    <x v="2"/>
    <x v="0"/>
    <s v="4*1"/>
    <s v="غير محدد"/>
    <s v="غير محدد"/>
    <x v="0"/>
    <s v="رمادى"/>
    <s v="كنبه سرير ٤ حركه "/>
    <n v="21999"/>
    <s v="مسبق الدفع"/>
    <x v="13"/>
    <x v="2"/>
    <d v="2024-11-20T00:00:00"/>
    <d v="2024-10-09T00:00:00"/>
    <x v="1"/>
    <s v="محمود على"/>
    <x v="0"/>
    <x v="0"/>
  </r>
  <r>
    <x v="50"/>
    <x v="1"/>
    <x v="8"/>
    <s v="القاهره"/>
    <x v="2"/>
    <x v="1"/>
    <s v="دورين"/>
    <s v="نوفال"/>
    <n v="80"/>
    <x v="3"/>
    <s v="غير محدد"/>
    <s v="سرير نوفال مقاس ٨٠ ابيض "/>
    <n v="10999"/>
    <s v="مسبق الدفع "/>
    <x v="13"/>
    <x v="2"/>
    <d v="2024-11-20T00:00:00"/>
    <d v="2024-10-16T00:00:00"/>
    <x v="1"/>
    <s v="محمود على"/>
    <x v="0"/>
    <x v="0"/>
  </r>
  <r>
    <x v="51"/>
    <x v="1"/>
    <x v="22"/>
    <s v="القاهره"/>
    <x v="2"/>
    <x v="1"/>
    <s v="دورين"/>
    <s v="كيفنج"/>
    <n v="80"/>
    <x v="3"/>
    <s v="غير محدد"/>
    <m/>
    <n v="10999"/>
    <s v="مسبق الدفع "/>
    <x v="31"/>
    <x v="2"/>
    <d v="2024-11-20T00:00:00"/>
    <d v="2024-10-16T00:00:00"/>
    <x v="1"/>
    <s v="محمود على"/>
    <x v="0"/>
    <x v="0"/>
  </r>
  <r>
    <x v="51"/>
    <x v="1"/>
    <x v="22"/>
    <s v="القاهره"/>
    <x v="2"/>
    <x v="1"/>
    <s v="دورين"/>
    <s v="كيفنج"/>
    <n v="80"/>
    <x v="3"/>
    <s v="غير محدد"/>
    <m/>
    <n v="10999"/>
    <s v="مسبق الدفع "/>
    <x v="31"/>
    <x v="2"/>
    <d v="2024-11-20T00:00:00"/>
    <d v="2024-10-16T00:00:00"/>
    <x v="1"/>
    <s v="محمود على"/>
    <x v="0"/>
    <x v="0"/>
  </r>
  <r>
    <x v="52"/>
    <x v="1"/>
    <x v="32"/>
    <s v="القاهره"/>
    <x v="2"/>
    <x v="0"/>
    <s v="4*1"/>
    <s v="غير محدد"/>
    <s v="غير محدد"/>
    <x v="0"/>
    <s v="رمادى"/>
    <m/>
    <n v="21999"/>
    <s v="مسبق الدفع "/>
    <x v="31"/>
    <x v="2"/>
    <d v="2024-11-20T00:00:00"/>
    <d v="2024-10-19T00:00:00"/>
    <x v="1"/>
    <s v="محمود على"/>
    <x v="0"/>
    <x v="0"/>
  </r>
  <r>
    <x v="53"/>
    <x v="1"/>
    <x v="1"/>
    <s v="القاهره"/>
    <x v="6"/>
    <x v="1"/>
    <s v="فردى"/>
    <s v="فورجينا"/>
    <n v="120"/>
    <x v="3"/>
    <s v="غير محدد"/>
    <m/>
    <n v="4520"/>
    <s v="حساب شركه"/>
    <x v="32"/>
    <x v="0"/>
    <d v="2024-11-22T00:00:00"/>
    <d v="2024-11-21T00:00:00"/>
    <x v="1"/>
    <s v="محمود على"/>
    <x v="0"/>
    <x v="0"/>
  </r>
  <r>
    <x v="54"/>
    <x v="1"/>
    <x v="22"/>
    <s v="القاهره"/>
    <x v="2"/>
    <x v="1"/>
    <s v="فردى"/>
    <s v="فورجينا"/>
    <n v="160"/>
    <x v="6"/>
    <s v="غير محدد"/>
    <m/>
    <n v="11395"/>
    <s v="مسبق الدفع"/>
    <x v="33"/>
    <x v="0"/>
    <d v="2024-11-24T00:00:00"/>
    <d v="2024-11-27T00:00:00"/>
    <x v="0"/>
    <s v="محمود على"/>
    <x v="0"/>
    <x v="0"/>
  </r>
  <r>
    <x v="55"/>
    <x v="1"/>
    <x v="33"/>
    <s v="القاهره"/>
    <x v="2"/>
    <x v="1"/>
    <s v="دورين"/>
    <s v="كيفنج"/>
    <n v="80"/>
    <x v="3"/>
    <s v="غير محدد"/>
    <m/>
    <n v="12099"/>
    <s v="مسبق الدفع"/>
    <x v="34"/>
    <x v="0"/>
    <d v="2024-11-26T00:00:00"/>
    <d v="2024-11-27T00:00:00"/>
    <x v="0"/>
    <s v="محمود على"/>
    <x v="0"/>
    <x v="0"/>
  </r>
  <r>
    <x v="12"/>
    <x v="0"/>
    <x v="23"/>
    <s v="القليوبية"/>
    <x v="4"/>
    <x v="1"/>
    <s v="دورين"/>
    <s v="كينج"/>
    <n v="90"/>
    <x v="0"/>
    <s v="غير محدد"/>
    <m/>
    <n v="5766"/>
    <s v="حساب شركه"/>
    <x v="33"/>
    <x v="0"/>
    <d v="2024-11-26T00:00:00"/>
    <d v="2024-11-25T00:00:00"/>
    <x v="1"/>
    <s v="محمود على"/>
    <x v="0"/>
    <x v="0"/>
  </r>
  <r>
    <x v="12"/>
    <x v="0"/>
    <x v="23"/>
    <s v="القليوبية"/>
    <x v="4"/>
    <x v="1"/>
    <s v="دورين"/>
    <s v="نوفال"/>
    <n v="120"/>
    <x v="2"/>
    <s v="غير محدد"/>
    <m/>
    <n v="6376"/>
    <s v="حساب شركه"/>
    <x v="35"/>
    <x v="0"/>
    <d v="2024-11-27T00:00:00"/>
    <d v="2024-11-25T00:00:00"/>
    <x v="1"/>
    <s v="محمود على"/>
    <x v="0"/>
    <x v="0"/>
  </r>
  <r>
    <x v="12"/>
    <x v="0"/>
    <x v="23"/>
    <s v="القليوبية"/>
    <x v="4"/>
    <x v="1"/>
    <s v="دورين "/>
    <s v="نوفال"/>
    <n v="90"/>
    <x v="0"/>
    <s v="غير محدد"/>
    <m/>
    <n v="5294"/>
    <s v="حساب شركه"/>
    <x v="35"/>
    <x v="0"/>
    <d v="2024-11-27T00:00:00"/>
    <d v="2024-11-25T00:00:00"/>
    <x v="1"/>
    <s v="محمود على"/>
    <x v="0"/>
    <x v="0"/>
  </r>
  <r>
    <x v="56"/>
    <x v="1"/>
    <x v="4"/>
    <s v="الجيزه"/>
    <x v="7"/>
    <x v="1"/>
    <s v="دورين "/>
    <s v="كيفنج "/>
    <n v="80"/>
    <x v="3"/>
    <s v="غير محدد"/>
    <m/>
    <n v="7396"/>
    <s v="مسبق الدفع"/>
    <x v="36"/>
    <x v="0"/>
    <d v="2024-11-28T00:00:00"/>
    <d v="2024-11-26T00:00:00"/>
    <x v="1"/>
    <s v="محمود على"/>
    <x v="0"/>
    <x v="0"/>
  </r>
  <r>
    <x v="57"/>
    <x v="1"/>
    <x v="1"/>
    <s v="القاهره"/>
    <x v="2"/>
    <x v="1"/>
    <s v="دورين"/>
    <s v="كينج "/>
    <n v="80"/>
    <x v="3"/>
    <s v="غير محدد"/>
    <m/>
    <n v="12919"/>
    <s v="مسبق الدفع"/>
    <x v="35"/>
    <x v="0"/>
    <d v="2024-11-30T00:00:00"/>
    <d v="2024-11-27T00:00:00"/>
    <x v="1"/>
    <s v="محمود على"/>
    <x v="0"/>
    <x v="0"/>
  </r>
  <r>
    <x v="58"/>
    <x v="1"/>
    <x v="7"/>
    <s v="القاهره"/>
    <x v="1"/>
    <x v="1"/>
    <s v="فردى"/>
    <s v="كوين "/>
    <n v="160"/>
    <x v="4"/>
    <s v="ابيض"/>
    <m/>
    <n v="6000"/>
    <n v="5800"/>
    <x v="37"/>
    <x v="0"/>
    <d v="2024-12-02T00:00:00"/>
    <d v="2024-11-27T00:00:00"/>
    <x v="1"/>
    <s v="محمود على"/>
    <x v="0"/>
    <x v="0"/>
  </r>
  <r>
    <x v="37"/>
    <x v="1"/>
    <x v="4"/>
    <s v="الجيزه"/>
    <x v="2"/>
    <x v="1"/>
    <s v="دورين"/>
    <s v="كينج"/>
    <n v="90"/>
    <x v="0"/>
    <s v="غير محدد"/>
    <m/>
    <n v="13439"/>
    <n v="13575"/>
    <x v="38"/>
    <x v="0"/>
    <d v="2024-12-05T00:00:00"/>
    <d v="2024-11-26T00:00:00"/>
    <x v="1"/>
    <s v="محمود على"/>
    <x v="0"/>
    <x v="0"/>
  </r>
  <r>
    <x v="59"/>
    <x v="1"/>
    <x v="34"/>
    <s v="القاهره"/>
    <x v="2"/>
    <x v="1"/>
    <s v="فردى "/>
    <s v="اسبانى "/>
    <n v="120"/>
    <x v="2"/>
    <s v="غير محدد"/>
    <m/>
    <n v="10885"/>
    <n v="7965"/>
    <x v="39"/>
    <x v="0"/>
    <d v="2024-12-05T00:00:00"/>
    <d v="2024-12-10T00:00:00"/>
    <x v="0"/>
    <s v="محمود على"/>
    <x v="0"/>
    <x v="0"/>
  </r>
  <r>
    <x v="3"/>
    <x v="0"/>
    <x v="6"/>
    <s v="القاهره"/>
    <x v="3"/>
    <x v="0"/>
    <s v="t1"/>
    <s v="t1"/>
    <s v="غير محدد"/>
    <x v="1"/>
    <s v="غير محدد"/>
    <m/>
    <n v="6000"/>
    <n v="6000"/>
    <x v="40"/>
    <x v="0"/>
    <d v="2024-12-05T00:00:00"/>
    <d v="2024-11-20T00:00:00"/>
    <x v="1"/>
    <s v="م محمد"/>
    <x v="0"/>
    <x v="5"/>
  </r>
  <r>
    <x v="3"/>
    <x v="0"/>
    <x v="6"/>
    <s v="القاهره"/>
    <x v="3"/>
    <x v="1"/>
    <s v="فردى "/>
    <s v="امريكى"/>
    <n v="160"/>
    <x v="0"/>
    <s v="غير محدد"/>
    <m/>
    <n v="5100"/>
    <s v="حساب شركه"/>
    <x v="35"/>
    <x v="0"/>
    <d v="2024-12-08T00:00:00"/>
    <s v="-"/>
    <x v="2"/>
    <s v="غير محدد"/>
    <x v="2"/>
    <x v="3"/>
  </r>
  <r>
    <x v="60"/>
    <x v="1"/>
    <x v="35"/>
    <s v="اسكندريه"/>
    <x v="2"/>
    <x v="3"/>
    <s v="غير محدد"/>
    <s v="مكتبه"/>
    <s v="غير محدد"/>
    <x v="1"/>
    <s v="غير محدد"/>
    <s v="ترابيزه"/>
    <n v="8449"/>
    <s v="مسبق الدفع"/>
    <x v="41"/>
    <x v="0"/>
    <d v="2024-12-10T00:00:00"/>
    <d v="2024-12-23T00:00:00"/>
    <x v="0"/>
    <s v="شركه شحن"/>
    <x v="0"/>
    <x v="1"/>
  </r>
  <r>
    <x v="61"/>
    <x v="1"/>
    <x v="11"/>
    <s v="القاهره"/>
    <x v="2"/>
    <x v="3"/>
    <s v="دورين"/>
    <s v="ميكانزم"/>
    <s v="غير محدد"/>
    <x v="3"/>
    <s v="ابيض في بنى غامق"/>
    <m/>
    <n v="10249"/>
    <n v="6211"/>
    <x v="41"/>
    <x v="0"/>
    <d v="2024-12-10T00:00:00"/>
    <d v="2024-12-19T00:00:00"/>
    <x v="0"/>
    <s v="محمود على"/>
    <x v="0"/>
    <x v="0"/>
  </r>
  <r>
    <x v="62"/>
    <x v="1"/>
    <x v="10"/>
    <s v="القاهره"/>
    <x v="2"/>
    <x v="3"/>
    <s v="دورين"/>
    <s v="ميكانزم"/>
    <s v="غير محدد"/>
    <x v="0"/>
    <s v="بنى غامق"/>
    <m/>
    <n v="10249"/>
    <s v="مسبق الدفع"/>
    <x v="42"/>
    <x v="0"/>
    <d v="2024-12-12T00:00:00"/>
    <s v="-"/>
    <x v="2"/>
    <s v="فشل التسليم"/>
    <x v="1"/>
    <x v="2"/>
  </r>
  <r>
    <x v="62"/>
    <x v="1"/>
    <x v="10"/>
    <s v="القاهره"/>
    <x v="2"/>
    <x v="3"/>
    <s v="رف سحاب"/>
    <s v="غير محدد"/>
    <s v="غير محدد"/>
    <x v="0"/>
    <s v="بنى غامق "/>
    <m/>
    <n v="9029"/>
    <s v="مسبق الدفع"/>
    <x v="42"/>
    <x v="0"/>
    <d v="2024-12-12T00:00:00"/>
    <s v="-"/>
    <x v="2"/>
    <s v="فشل التسليم"/>
    <x v="1"/>
    <x v="2"/>
  </r>
  <r>
    <x v="63"/>
    <x v="1"/>
    <x v="13"/>
    <s v="السويس"/>
    <x v="2"/>
    <x v="3"/>
    <s v=" 2 ميكانزم"/>
    <s v="غير محدد"/>
    <s v="غير محدد"/>
    <x v="0"/>
    <s v="بيج "/>
    <m/>
    <n v="9029"/>
    <s v="مسبق الدفع"/>
    <x v="42"/>
    <x v="0"/>
    <d v="2024-12-12T00:00:00"/>
    <s v="-"/>
    <x v="2"/>
    <s v="غير محدد"/>
    <x v="2"/>
    <x v="3"/>
  </r>
  <r>
    <x v="12"/>
    <x v="0"/>
    <x v="23"/>
    <s v="القليوبية"/>
    <x v="4"/>
    <x v="1"/>
    <s v="دورين "/>
    <s v="كيفنج "/>
    <n v="90"/>
    <x v="5"/>
    <s v="غير محدد"/>
    <m/>
    <n v="5217"/>
    <s v="حساب شركه"/>
    <x v="43"/>
    <x v="4"/>
    <d v="2024-12-14T00:00:00"/>
    <d v="2024-12-10T00:00:00"/>
    <x v="1"/>
    <s v="محمود على"/>
    <x v="0"/>
    <x v="0"/>
  </r>
  <r>
    <x v="64"/>
    <x v="1"/>
    <x v="28"/>
    <s v="القاهره"/>
    <x v="2"/>
    <x v="1"/>
    <s v="منطبق"/>
    <s v="غير محدد"/>
    <s v="غير محدد"/>
    <x v="0"/>
    <s v="اسود"/>
    <m/>
    <n v="10249"/>
    <n v="6211"/>
    <x v="44"/>
    <x v="4"/>
    <d v="2024-12-14T00:00:00"/>
    <d v="2024-12-19T00:00:00"/>
    <x v="0"/>
    <s v="محمود على"/>
    <x v="0"/>
    <x v="0"/>
  </r>
  <r>
    <x v="65"/>
    <x v="1"/>
    <x v="36"/>
    <s v="اسكندريه"/>
    <x v="2"/>
    <x v="1"/>
    <s v="دورين"/>
    <s v="كيفنج"/>
    <n v="100"/>
    <x v="0"/>
    <s v="غير محدد"/>
    <m/>
    <n v="14905"/>
    <s v="مسبق الدفع"/>
    <x v="45"/>
    <x v="0"/>
    <d v="2024-12-15T00:00:00"/>
    <s v="-"/>
    <x v="2"/>
    <s v="العميل رفض الاستلام"/>
    <x v="1"/>
    <x v="6"/>
  </r>
  <r>
    <x v="66"/>
    <x v="1"/>
    <x v="21"/>
    <s v="القاهره"/>
    <x v="2"/>
    <x v="1"/>
    <s v="دورين"/>
    <s v="نوفال "/>
    <s v="100/140"/>
    <x v="11"/>
    <s v="غير محدد"/>
    <m/>
    <n v="12899"/>
    <n v="13028"/>
    <x v="46"/>
    <x v="3"/>
    <d v="2024-12-17T00:00:00"/>
    <d v="2024-11-02T00:00:00"/>
    <x v="1"/>
    <s v="محمود على"/>
    <x v="0"/>
    <x v="0"/>
  </r>
  <r>
    <x v="67"/>
    <x v="1"/>
    <x v="37"/>
    <s v="القاهره"/>
    <x v="2"/>
    <x v="1"/>
    <s v="دورين "/>
    <s v="نوفال"/>
    <n v="80"/>
    <x v="3"/>
    <s v="غير محدد"/>
    <m/>
    <n v="12099"/>
    <s v="مسبق الدفع"/>
    <x v="47"/>
    <x v="4"/>
    <d v="2024-12-17T00:00:00"/>
    <s v="-"/>
    <x v="2"/>
    <s v="فشل التسليم"/>
    <x v="1"/>
    <x v="2"/>
  </r>
  <r>
    <x v="68"/>
    <x v="1"/>
    <x v="7"/>
    <s v="القاهره"/>
    <x v="2"/>
    <x v="1"/>
    <s v="دورين"/>
    <s v="كيفنج"/>
    <n v="80"/>
    <x v="3"/>
    <s v="غير محدد"/>
    <m/>
    <n v="10499"/>
    <s v="مسبق الدفع"/>
    <x v="48"/>
    <x v="3"/>
    <d v="2024-12-19T00:00:00"/>
    <d v="2024-10-21T00:00:00"/>
    <x v="1"/>
    <s v="محمود على"/>
    <x v="0"/>
    <x v="0"/>
  </r>
  <r>
    <x v="69"/>
    <x v="1"/>
    <x v="38"/>
    <s v="اسكندريه"/>
    <x v="2"/>
    <x v="1"/>
    <s v="دورين"/>
    <s v="نوفال"/>
    <s v="100/140"/>
    <x v="11"/>
    <s v="غير محدد"/>
    <m/>
    <n v="12899"/>
    <s v="مسبق الدفع"/>
    <x v="49"/>
    <x v="3"/>
    <d v="2024-12-22T00:00:00"/>
    <d v="2024-12-03T00:00:00"/>
    <x v="1"/>
    <s v="شركه شحن"/>
    <x v="0"/>
    <x v="1"/>
  </r>
  <r>
    <x v="70"/>
    <x v="1"/>
    <x v="10"/>
    <s v="القاهره"/>
    <x v="2"/>
    <x v="3"/>
    <s v="دورين"/>
    <s v="ميكانزم"/>
    <s v="غير محدد"/>
    <x v="0"/>
    <s v="بنى غامق"/>
    <m/>
    <n v="11199"/>
    <n v="11257"/>
    <x v="50"/>
    <x v="4"/>
    <d v="2024-12-24T00:00:00"/>
    <d v="2024-12-19T00:00:00"/>
    <x v="1"/>
    <s v="محمود على"/>
    <x v="0"/>
    <x v="0"/>
  </r>
  <r>
    <x v="71"/>
    <x v="1"/>
    <x v="4"/>
    <s v="الجيزه"/>
    <x v="2"/>
    <x v="1"/>
    <s v="دورين"/>
    <s v="نوفال"/>
    <n v="80"/>
    <x v="0"/>
    <s v="غير محدد"/>
    <m/>
    <n v="13099"/>
    <n v="13231"/>
    <x v="50"/>
    <x v="4"/>
    <d v="2024-12-28T00:00:00"/>
    <d v="2024-12-29T00:00:00"/>
    <x v="0"/>
    <s v="محمود على"/>
    <x v="0"/>
    <x v="0"/>
  </r>
  <r>
    <x v="72"/>
    <x v="1"/>
    <x v="1"/>
    <s v="القاهره"/>
    <x v="0"/>
    <x v="1"/>
    <s v="دورين"/>
    <s v="كينج"/>
    <s v="غير محدد"/>
    <x v="0"/>
    <s v="غير محدد"/>
    <m/>
    <n v="10445"/>
    <n v="7707"/>
    <x v="51"/>
    <x v="4"/>
    <d v="2024-12-31T00:00:00"/>
    <d v="2024-12-12T00:00:00"/>
    <x v="1"/>
    <s v="محمود على"/>
    <x v="0"/>
    <x v="0"/>
  </r>
  <r>
    <x v="0"/>
    <x v="0"/>
    <x v="0"/>
    <s v="القاهره"/>
    <x v="0"/>
    <x v="0"/>
    <s v="4*1"/>
    <s v="ارينا"/>
    <s v="غير محدد"/>
    <x v="0"/>
    <s v="روك ١٠"/>
    <m/>
    <n v="8700"/>
    <s v="حساب شركه"/>
    <x v="52"/>
    <x v="4"/>
    <d v="2025-01-05T00:00:00"/>
    <d v="2024-12-29T00:00:00"/>
    <x v="1"/>
    <s v="محمود على"/>
    <x v="0"/>
    <x v="0"/>
  </r>
  <r>
    <x v="73"/>
    <x v="1"/>
    <x v="39"/>
    <s v=" الجيزه"/>
    <x v="2"/>
    <x v="1"/>
    <s v="منطبق"/>
    <s v="غير محدد"/>
    <s v="غير محدد"/>
    <x v="1"/>
    <s v="غير محدد"/>
    <s v="سرير منطبق الحديد ابيض والقماش ابيض "/>
    <n v="10160"/>
    <s v="مسبق الدفع"/>
    <x v="53"/>
    <x v="5"/>
    <s v="-"/>
    <d v="2024-08-10T00:00:00"/>
    <x v="2"/>
    <s v=" شركه شحن "/>
    <x v="0"/>
    <x v="1"/>
  </r>
  <r>
    <x v="74"/>
    <x v="1"/>
    <x v="40"/>
    <s v=" اسكندريه"/>
    <x v="2"/>
    <x v="1"/>
    <s v="منطبق"/>
    <s v="غير محدد"/>
    <s v="غير محدد"/>
    <x v="1"/>
    <s v="غير محدد"/>
    <s v="سرير منطبق اسود والقماش اسود "/>
    <n v="10160"/>
    <n v="9749"/>
    <x v="54"/>
    <x v="5"/>
    <s v="-"/>
    <d v="2024-08-11T00:00:00"/>
    <x v="2"/>
    <s v=" شركه شحن "/>
    <x v="0"/>
    <x v="1"/>
  </r>
  <r>
    <x v="75"/>
    <x v="1"/>
    <x v="2"/>
    <s v=" الساحل الشمالى "/>
    <x v="2"/>
    <x v="1"/>
    <s v="دورين"/>
    <s v="كيفنج"/>
    <n v="90"/>
    <x v="5"/>
    <s v="غير محدد"/>
    <s v="سرير كيفينج مقاس 90 لون ازرق "/>
    <n v="11455"/>
    <n v="10067.68"/>
    <x v="53"/>
    <x v="5"/>
    <s v="-"/>
    <s v="-"/>
    <x v="2"/>
    <s v="فشل التسليم "/>
    <x v="1"/>
    <x v="2"/>
  </r>
  <r>
    <x v="76"/>
    <x v="1"/>
    <x v="3"/>
    <s v="القاهره"/>
    <x v="3"/>
    <x v="0"/>
    <s v="سحارة"/>
    <s v="غير محدد"/>
    <s v="غير محدد"/>
    <x v="1"/>
    <s v="غير محدد"/>
    <s v="٢ كنبه سحاره بمخدع"/>
    <n v="16000"/>
    <n v="16000"/>
    <x v="55"/>
    <x v="6"/>
    <s v="-"/>
    <s v="-"/>
    <x v="2"/>
    <s v="فشل التسليم"/>
    <x v="1"/>
    <x v="2"/>
  </r>
  <r>
    <x v="12"/>
    <x v="0"/>
    <x v="41"/>
    <s v="القاهره"/>
    <x v="4"/>
    <x v="1"/>
    <s v="دورين"/>
    <s v="فانتستيك"/>
    <n v="100"/>
    <x v="9"/>
    <s v="غير محدد"/>
    <m/>
    <n v="8544.91"/>
    <s v="حساب شركه"/>
    <x v="26"/>
    <x v="3"/>
    <s v="-"/>
    <s v="-"/>
    <x v="2"/>
    <s v="فشل التسليم"/>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797C6A-3F4A-4D54-B2C3-529D7646689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3:AA6" firstHeaderRow="1" firstDataRow="1" firstDataCol="1"/>
  <pivotFields count="22">
    <pivotField showAll="0"/>
    <pivotField showAll="0"/>
    <pivotField showAll="0"/>
    <pivotField showAll="0"/>
    <pivotField showAll="0"/>
    <pivotField axis="axisRow" dataField="1" showAll="0" measureFilter="1" sortType="ascending">
      <items count="10">
        <item x="0"/>
        <item m="1" x="6"/>
        <item x="4"/>
        <item x="5"/>
        <item m="1" x="7"/>
        <item x="1"/>
        <item x="2"/>
        <item m="1" x="8"/>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8">
        <item x="5"/>
        <item x="1"/>
        <item x="2"/>
        <item x="3"/>
        <item x="0"/>
        <item x="4"/>
        <item x="6"/>
        <item t="default"/>
      </items>
    </pivotField>
    <pivotField showAll="0"/>
    <pivotField showAll="0"/>
    <pivotField showAll="0"/>
    <pivotField showAll="0"/>
    <pivotField axis="axisRow" showAll="0" measureFilter="1" sortType="descending">
      <items count="5">
        <item x="0"/>
        <item m="1" x="3"/>
        <item x="2"/>
        <item x="1"/>
        <item t="default"/>
      </items>
      <autoSortScope>
        <pivotArea dataOnly="0" outline="0" fieldPosition="0">
          <references count="1">
            <reference field="4294967294" count="1" selected="0">
              <x v="0"/>
            </reference>
          </references>
        </pivotArea>
      </autoSortScope>
    </pivotField>
    <pivotField showAll="0">
      <items count="8">
        <item x="4"/>
        <item x="6"/>
        <item x="1"/>
        <item x="3"/>
        <item x="2"/>
        <item x="5"/>
        <item x="0"/>
        <item t="default"/>
      </items>
    </pivotField>
  </pivotFields>
  <rowFields count="2">
    <field x="20"/>
    <field x="5"/>
  </rowFields>
  <rowItems count="3">
    <i>
      <x/>
    </i>
    <i r="1">
      <x v="5"/>
    </i>
    <i t="grand">
      <x/>
    </i>
  </rowItems>
  <colItems count="1">
    <i/>
  </colItems>
  <dataFields count="1">
    <dataField name="Count of نوع المنتج " fld="5" subtotal="count" baseField="0" baseItem="0"/>
  </dataFields>
  <pivotTableStyleInfo name="PivotStyleLight16" showRowHeaders="1" showColHeaders="1" showRowStripes="0" showColStripes="0" showLastColumn="1"/>
  <filters count="2">
    <filter fld="20" type="count" evalOrder="-1" id="4" iMeasureFld="0">
      <autoFilter ref="A1">
        <filterColumn colId="0">
          <top10 val="1" filterVal="1"/>
        </filterColumn>
      </autoFilter>
    </filter>
    <filter fld="5" type="count" evalOrder="-1" id="5"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28AB19-F46D-49C4-A3AD-2E7321C5151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P3:AQ7"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5"/>
        <item x="1"/>
        <item x="2"/>
        <item x="3"/>
        <item x="0"/>
        <item x="4"/>
        <item x="6"/>
        <item t="default"/>
      </items>
    </pivotField>
    <pivotField showAll="0"/>
    <pivotField showAll="0"/>
    <pivotField axis="axisRow" dataField="1" showAll="0">
      <items count="4">
        <item x="0"/>
        <item x="1"/>
        <item x="2"/>
        <item t="default"/>
      </items>
    </pivotField>
    <pivotField showAll="0"/>
    <pivotField showAll="0"/>
    <pivotField showAll="0">
      <items count="8">
        <item x="4"/>
        <item x="6"/>
        <item x="1"/>
        <item x="3"/>
        <item x="2"/>
        <item x="5"/>
        <item x="0"/>
        <item t="default"/>
      </items>
    </pivotField>
  </pivotFields>
  <rowFields count="1">
    <field x="18"/>
  </rowFields>
  <rowItems count="4">
    <i>
      <x/>
    </i>
    <i>
      <x v="1"/>
    </i>
    <i>
      <x v="2"/>
    </i>
    <i t="grand">
      <x/>
    </i>
  </rowItems>
  <colItems count="1">
    <i/>
  </colItems>
  <dataFields count="1">
    <dataField name="Count of استلام ف الموعد" fld="18" subtotal="count" showDataAs="percentOfTotal" baseField="19" baseItem="0" numFmtId="10"/>
  </dataFields>
  <formats count="2">
    <format dxfId="1">
      <pivotArea collapsedLevelsAreSubtotals="1" fieldPosition="0">
        <references count="1">
          <reference field="18" count="1">
            <x v="0"/>
          </reference>
        </references>
      </pivotArea>
    </format>
    <format dxfId="0">
      <pivotArea collapsedLevelsAreSubtotals="1" fieldPosition="0">
        <references count="1">
          <reference field="18" count="1">
            <x v="1"/>
          </reference>
        </references>
      </pivotArea>
    </format>
  </formats>
  <chartFormats count="8">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8" count="1" selected="0">
            <x v="0"/>
          </reference>
        </references>
      </pivotArea>
    </chartFormat>
    <chartFormat chart="7" format="7">
      <pivotArea type="data" outline="0" fieldPosition="0">
        <references count="2">
          <reference field="4294967294" count="1" selected="0">
            <x v="0"/>
          </reference>
          <reference field="18" count="1" selected="0">
            <x v="1"/>
          </reference>
        </references>
      </pivotArea>
    </chartFormat>
    <chartFormat chart="7" format="8">
      <pivotArea type="data" outline="0" fieldPosition="0">
        <references count="2">
          <reference field="4294967294" count="1" selected="0">
            <x v="0"/>
          </reference>
          <reference field="18" count="1" selected="0">
            <x v="2"/>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18" count="1" selected="0">
            <x v="0"/>
          </reference>
        </references>
      </pivotArea>
    </chartFormat>
    <chartFormat chart="11" format="15">
      <pivotArea type="data" outline="0" fieldPosition="0">
        <references count="2">
          <reference field="4294967294" count="1" selected="0">
            <x v="0"/>
          </reference>
          <reference field="18" count="1" selected="0">
            <x v="1"/>
          </reference>
        </references>
      </pivotArea>
    </chartFormat>
    <chartFormat chart="11" format="16">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1C0F8A-A51F-4AF2-942D-D5BA22DF0D06}"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T2:AU6"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5"/>
        <item x="1"/>
        <item x="2"/>
        <item x="3"/>
        <item x="0"/>
        <item x="4"/>
        <item x="6"/>
        <item t="default"/>
      </items>
    </pivotField>
    <pivotField showAll="0"/>
    <pivotField showAll="0"/>
    <pivotField showAll="0"/>
    <pivotField showAll="0"/>
    <pivotField axis="axisRow" dataField="1" showAll="0">
      <items count="5">
        <item x="0"/>
        <item m="1" x="3"/>
        <item x="2"/>
        <item x="1"/>
        <item t="default"/>
      </items>
    </pivotField>
    <pivotField showAll="0">
      <items count="8">
        <item x="4"/>
        <item x="6"/>
        <item x="1"/>
        <item x="3"/>
        <item x="2"/>
        <item x="5"/>
        <item x="0"/>
        <item t="default"/>
      </items>
    </pivotField>
  </pivotFields>
  <rowFields count="1">
    <field x="20"/>
  </rowFields>
  <rowItems count="4">
    <i>
      <x/>
    </i>
    <i>
      <x v="2"/>
    </i>
    <i>
      <x v="3"/>
    </i>
    <i t="grand">
      <x/>
    </i>
  </rowItems>
  <colItems count="1">
    <i/>
  </colItems>
  <dataFields count="1">
    <dataField name="Count of الحالة"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D69307-56C7-4A78-9955-CA5E2355BA3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17:L25"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dataField="1" numFmtId="1" showAll="0"/>
    <pivotField showAll="0"/>
    <pivotField showAll="0"/>
    <pivotField axis="axisRow" showAll="0">
      <items count="8">
        <item x="5"/>
        <item x="1"/>
        <item x="2"/>
        <item x="3"/>
        <item x="0"/>
        <item x="4"/>
        <item x="6"/>
        <item t="default"/>
      </items>
    </pivotField>
    <pivotField showAll="0"/>
    <pivotField showAll="0"/>
    <pivotField showAll="0"/>
    <pivotField showAll="0"/>
    <pivotField showAll="0"/>
    <pivotField showAll="0">
      <items count="8">
        <item x="4"/>
        <item x="6"/>
        <item x="1"/>
        <item x="3"/>
        <item x="2"/>
        <item x="5"/>
        <item x="0"/>
        <item t="default"/>
      </items>
    </pivotField>
  </pivotFields>
  <rowFields count="1">
    <field x="15"/>
  </rowFields>
  <rowItems count="8">
    <i>
      <x/>
    </i>
    <i>
      <x v="1"/>
    </i>
    <i>
      <x v="2"/>
    </i>
    <i>
      <x v="3"/>
    </i>
    <i>
      <x v="4"/>
    </i>
    <i>
      <x v="5"/>
    </i>
    <i>
      <x v="6"/>
    </i>
    <i t="grand">
      <x/>
    </i>
  </rowItems>
  <colItems count="1">
    <i/>
  </colItems>
  <dataFields count="1">
    <dataField name="Sum of سعر البيع " fld="12" baseField="0" baseItem="0"/>
  </dataFields>
  <formats count="1">
    <format dxfId="2">
      <pivotArea collapsedLevelsAreSubtotals="1" fieldPosition="0">
        <references count="1">
          <reference field="15" count="0"/>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99D096-8E41-446B-8E53-6721AB324F7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2:AE80" firstHeaderRow="1" firstDataRow="1" firstDataCol="1"/>
  <pivotFields count="22">
    <pivotField axis="axisRow" showAll="0">
      <items count="80">
        <item x="11"/>
        <item x="66"/>
        <item x="52"/>
        <item x="51"/>
        <item x="69"/>
        <item x="68"/>
        <item x="4"/>
        <item x="1"/>
        <item x="38"/>
        <item x="36"/>
        <item x="65"/>
        <item x="6"/>
        <item x="39"/>
        <item x="27"/>
        <item x="18"/>
        <item x="29"/>
        <item x="12"/>
        <item x="32"/>
        <item x="59"/>
        <item x="25"/>
        <item x="42"/>
        <item x="3"/>
        <item x="76"/>
        <item x="63"/>
        <item x="15"/>
        <item x="47"/>
        <item x="10"/>
        <item x="20"/>
        <item x="54"/>
        <item x="71"/>
        <item x="73"/>
        <item x="31"/>
        <item x="48"/>
        <item x="49"/>
        <item x="16"/>
        <item x="60"/>
        <item x="56"/>
        <item x="2"/>
        <item x="37"/>
        <item x="23"/>
        <item x="5"/>
        <item x="75"/>
        <item x="0"/>
        <item m="1" x="77"/>
        <item x="30"/>
        <item x="13"/>
        <item x="57"/>
        <item x="28"/>
        <item x="41"/>
        <item x="34"/>
        <item x="17"/>
        <item x="21"/>
        <item x="7"/>
        <item x="44"/>
        <item x="43"/>
        <item x="50"/>
        <item x="9"/>
        <item x="35"/>
        <item x="8"/>
        <item x="58"/>
        <item x="55"/>
        <item x="64"/>
        <item x="61"/>
        <item x="74"/>
        <item x="72"/>
        <item x="46"/>
        <item x="53"/>
        <item x="24"/>
        <item x="33"/>
        <item m="1" x="78"/>
        <item x="62"/>
        <item x="26"/>
        <item x="70"/>
        <item x="22"/>
        <item x="45"/>
        <item x="67"/>
        <item x="19"/>
        <item x="40"/>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5"/>
        <item x="1"/>
        <item x="2"/>
        <item x="3"/>
        <item x="0"/>
        <item x="4"/>
        <item x="6"/>
        <item t="default"/>
      </items>
    </pivotField>
    <pivotField showAll="0"/>
    <pivotField showAll="0"/>
    <pivotField showAll="0"/>
    <pivotField showAll="0"/>
    <pivotField showAll="0"/>
    <pivotField showAll="0">
      <items count="8">
        <item x="4"/>
        <item x="6"/>
        <item x="1"/>
        <item x="3"/>
        <item x="2"/>
        <item x="5"/>
        <item x="0"/>
        <item t="default"/>
      </items>
    </pivotField>
  </pivotFields>
  <rowFields count="1">
    <field x="0"/>
  </rowFields>
  <rowItems count="7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4"/>
    </i>
    <i>
      <x v="45"/>
    </i>
    <i>
      <x v="46"/>
    </i>
    <i>
      <x v="47"/>
    </i>
    <i>
      <x v="48"/>
    </i>
    <i>
      <x v="49"/>
    </i>
    <i>
      <x v="50"/>
    </i>
    <i>
      <x v="51"/>
    </i>
    <i>
      <x v="52"/>
    </i>
    <i>
      <x v="53"/>
    </i>
    <i>
      <x v="54"/>
    </i>
    <i>
      <x v="55"/>
    </i>
    <i>
      <x v="56"/>
    </i>
    <i>
      <x v="57"/>
    </i>
    <i>
      <x v="58"/>
    </i>
    <i>
      <x v="59"/>
    </i>
    <i>
      <x v="60"/>
    </i>
    <i>
      <x v="61"/>
    </i>
    <i>
      <x v="62"/>
    </i>
    <i>
      <x v="63"/>
    </i>
    <i>
      <x v="64"/>
    </i>
    <i>
      <x v="65"/>
    </i>
    <i>
      <x v="66"/>
    </i>
    <i>
      <x v="67"/>
    </i>
    <i>
      <x v="68"/>
    </i>
    <i>
      <x v="70"/>
    </i>
    <i>
      <x v="71"/>
    </i>
    <i>
      <x v="72"/>
    </i>
    <i>
      <x v="73"/>
    </i>
    <i>
      <x v="74"/>
    </i>
    <i>
      <x v="75"/>
    </i>
    <i>
      <x v="76"/>
    </i>
    <i>
      <x v="77"/>
    </i>
    <i>
      <x v="7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799EB0-B104-4C57-9C16-61DDDF7778F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F3"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5"/>
        <item x="1"/>
        <item x="2"/>
        <item x="3"/>
        <item x="0"/>
        <item x="4"/>
        <item x="6"/>
        <item t="default"/>
      </items>
    </pivotField>
    <pivotField showAll="0"/>
    <pivotField showAll="0"/>
    <pivotField showAll="0"/>
    <pivotField showAll="0"/>
    <pivotField dataField="1" showAll="0"/>
    <pivotField showAll="0">
      <items count="8">
        <item x="4"/>
        <item x="6"/>
        <item x="1"/>
        <item x="3"/>
        <item x="2"/>
        <item x="5"/>
        <item x="0"/>
        <item t="default"/>
      </items>
    </pivotField>
  </pivotFields>
  <rowItems count="1">
    <i/>
  </rowItems>
  <colItems count="1">
    <i/>
  </colItems>
  <dataFields count="1">
    <dataField name="Count of الحالة"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A67E00-3AFF-4A70-AF45-8A635D14162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P2:Q12" firstHeaderRow="1" firstDataRow="1" firstDataCol="1"/>
  <pivotFields count="22">
    <pivotField showAll="0"/>
    <pivotField showAll="0"/>
    <pivotField showAll="0"/>
    <pivotField showAll="0"/>
    <pivotField axis="axisRow" showAll="0" sortType="descending">
      <items count="13">
        <item m="1" x="10"/>
        <item x="2"/>
        <item x="6"/>
        <item m="1" x="11"/>
        <item x="7"/>
        <item x="1"/>
        <item x="0"/>
        <item m="1" x="9"/>
        <item m="1" x="8"/>
        <item x="3"/>
        <item x="4"/>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items count="8">
        <item x="5"/>
        <item x="1"/>
        <item x="2"/>
        <item x="3"/>
        <item x="0"/>
        <item x="4"/>
        <item x="6"/>
        <item t="default"/>
      </items>
    </pivotField>
    <pivotField showAll="0"/>
    <pivotField showAll="0"/>
    <pivotField showAll="0"/>
    <pivotField showAll="0"/>
    <pivotField axis="axisRow" showAll="0" sortType="descending">
      <items count="5">
        <item h="1" x="1"/>
        <item h="1" x="2"/>
        <item m="1" x="3"/>
        <item x="0"/>
        <item t="default"/>
      </items>
    </pivotField>
    <pivotField showAll="0">
      <items count="8">
        <item x="4"/>
        <item x="6"/>
        <item x="1"/>
        <item x="3"/>
        <item x="2"/>
        <item x="5"/>
        <item x="0"/>
        <item t="default"/>
      </items>
    </pivotField>
  </pivotFields>
  <rowFields count="2">
    <field x="20"/>
    <field x="4"/>
  </rowFields>
  <rowItems count="10">
    <i>
      <x v="3"/>
    </i>
    <i r="1">
      <x v="1"/>
    </i>
    <i r="1">
      <x v="6"/>
    </i>
    <i r="1">
      <x v="10"/>
    </i>
    <i r="1">
      <x v="9"/>
    </i>
    <i r="1">
      <x v="11"/>
    </i>
    <i r="1">
      <x v="2"/>
    </i>
    <i r="1">
      <x v="5"/>
    </i>
    <i r="1">
      <x v="4"/>
    </i>
    <i t="grand">
      <x/>
    </i>
  </rowItems>
  <colItems count="1">
    <i/>
  </colItems>
  <dataFields count="1">
    <dataField name="Count of نوع المنتج " fld="5" subtotal="count" baseField="0" baseItem="0"/>
  </dataFields>
  <chartFormats count="10">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4" count="1" selected="0">
            <x v="1"/>
          </reference>
        </references>
      </pivotArea>
    </chartFormat>
    <chartFormat chart="26" format="7">
      <pivotArea type="data" outline="0" fieldPosition="0">
        <references count="2">
          <reference field="4294967294" count="1" selected="0">
            <x v="0"/>
          </reference>
          <reference field="4" count="1" selected="0">
            <x v="6"/>
          </reference>
        </references>
      </pivotArea>
    </chartFormat>
    <chartFormat chart="26" format="8">
      <pivotArea type="data" outline="0" fieldPosition="0">
        <references count="2">
          <reference field="4294967294" count="1" selected="0">
            <x v="0"/>
          </reference>
          <reference field="4" count="1" selected="0">
            <x v="10"/>
          </reference>
        </references>
      </pivotArea>
    </chartFormat>
    <chartFormat chart="26" format="9">
      <pivotArea type="data" outline="0" fieldPosition="0">
        <references count="2">
          <reference field="4294967294" count="1" selected="0">
            <x v="0"/>
          </reference>
          <reference field="4" count="1" selected="0">
            <x v="9"/>
          </reference>
        </references>
      </pivotArea>
    </chartFormat>
    <chartFormat chart="26" format="10">
      <pivotArea type="data" outline="0" fieldPosition="0">
        <references count="3">
          <reference field="4294967294" count="1" selected="0">
            <x v="0"/>
          </reference>
          <reference field="4" count="1" selected="0">
            <x v="1"/>
          </reference>
          <reference field="20" count="1" selected="0">
            <x v="3"/>
          </reference>
        </references>
      </pivotArea>
    </chartFormat>
    <chartFormat chart="26" format="11">
      <pivotArea type="data" outline="0" fieldPosition="0">
        <references count="3">
          <reference field="4294967294" count="1" selected="0">
            <x v="0"/>
          </reference>
          <reference field="4" count="1" selected="0">
            <x v="6"/>
          </reference>
          <reference field="20" count="1" selected="0">
            <x v="3"/>
          </reference>
        </references>
      </pivotArea>
    </chartFormat>
    <chartFormat chart="26" format="12">
      <pivotArea type="data" outline="0" fieldPosition="0">
        <references count="3">
          <reference field="4294967294" count="1" selected="0">
            <x v="0"/>
          </reference>
          <reference field="4" count="1" selected="0">
            <x v="10"/>
          </reference>
          <reference field="20" count="1" selected="0">
            <x v="3"/>
          </reference>
        </references>
      </pivotArea>
    </chartFormat>
    <chartFormat chart="26" format="13">
      <pivotArea type="data" outline="0" fieldPosition="0">
        <references count="3">
          <reference field="4294967294" count="1" selected="0">
            <x v="0"/>
          </reference>
          <reference field="4" count="1" selected="0">
            <x v="9"/>
          </reference>
          <reference field="20" count="1" selected="0">
            <x v="3"/>
          </reference>
        </references>
      </pivotArea>
    </chartFormat>
    <chartFormat chart="35"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CFE827-A2F7-4F0D-BA30-D400E198BCD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4"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8">
        <item x="5"/>
        <item x="1"/>
        <item x="2"/>
        <item x="3"/>
        <item x="0"/>
        <item x="4"/>
        <item x="6"/>
        <item t="default"/>
      </items>
    </pivotField>
    <pivotField showAll="0"/>
    <pivotField showAll="0"/>
    <pivotField showAll="0"/>
    <pivotField showAll="0"/>
    <pivotField axis="axisRow" showAll="0">
      <items count="5">
        <item x="0"/>
        <item m="1" x="3"/>
        <item h="1" x="2"/>
        <item h="1" x="1"/>
        <item t="default"/>
      </items>
    </pivotField>
    <pivotField showAll="0">
      <items count="8">
        <item x="4"/>
        <item x="6"/>
        <item x="1"/>
        <item x="3"/>
        <item x="2"/>
        <item x="5"/>
        <item x="0"/>
        <item t="default"/>
      </items>
    </pivotField>
  </pivotFields>
  <rowFields count="1">
    <field x="20"/>
  </rowFields>
  <rowItems count="2">
    <i>
      <x/>
    </i>
    <i t="grand">
      <x/>
    </i>
  </rowItems>
  <colItems count="1">
    <i/>
  </colItems>
  <dataFields count="1">
    <dataField name="Sum of سعر البيع " fld="12" baseField="0" baseItem="0"/>
  </dataFields>
  <formats count="1">
    <format dxfId="3">
      <pivotArea collapsedLevelsAreSubtotals="1" fieldPosition="0">
        <references count="1">
          <reference field="2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F0F425-4A30-4349-B951-BC60CD6CF10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3:V10" firstHeaderRow="1" firstDataRow="1" firstDataCol="1"/>
  <pivotFields count="22">
    <pivotField showAll="0"/>
    <pivotField showAll="0"/>
    <pivotField showAll="0"/>
    <pivotField showAll="0"/>
    <pivotField showAll="0"/>
    <pivotField axis="axisRow" dataField="1" showAll="0" sortType="descending">
      <items count="10">
        <item x="0"/>
        <item m="1" x="6"/>
        <item x="4"/>
        <item x="5"/>
        <item m="1" x="7"/>
        <item x="1"/>
        <item x="2"/>
        <item m="1" x="8"/>
        <item x="3"/>
        <item t="default"/>
      </items>
    </pivotField>
    <pivotField showAll="0"/>
    <pivotField showAll="0"/>
    <pivotField showAll="0"/>
    <pivotField showAll="0"/>
    <pivotField showAll="0"/>
    <pivotField showAll="0"/>
    <pivotField showAll="0"/>
    <pivotField showAll="0"/>
    <pivotField showAll="0"/>
    <pivotField showAll="0">
      <items count="8">
        <item x="5"/>
        <item x="1"/>
        <item x="2"/>
        <item x="3"/>
        <item x="0"/>
        <item x="4"/>
        <item x="6"/>
        <item t="default"/>
      </items>
    </pivotField>
    <pivotField showAll="0"/>
    <pivotField showAll="0"/>
    <pivotField showAll="0"/>
    <pivotField showAll="0"/>
    <pivotField showAll="0"/>
    <pivotField showAll="0">
      <items count="8">
        <item x="4"/>
        <item x="6"/>
        <item x="1"/>
        <item x="3"/>
        <item x="2"/>
        <item x="5"/>
        <item x="0"/>
        <item t="default"/>
      </items>
    </pivotField>
  </pivotFields>
  <rowFields count="1">
    <field x="5"/>
  </rowFields>
  <rowItems count="7">
    <i>
      <x/>
    </i>
    <i>
      <x v="2"/>
    </i>
    <i>
      <x v="3"/>
    </i>
    <i>
      <x v="5"/>
    </i>
    <i>
      <x v="6"/>
    </i>
    <i>
      <x v="8"/>
    </i>
    <i t="grand">
      <x/>
    </i>
  </rowItems>
  <colItems count="1">
    <i/>
  </colItems>
  <dataFields count="1">
    <dataField name="Count of نوع المنتج " fld="5"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8FFACE5-6EAF-43F3-923C-6EBCE985A1B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3:B16" firstHeaderRow="1" firstDataRow="1" firstDataCol="1"/>
  <pivotFields count="22">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dataField="1" numFmtId="1" showAll="0"/>
    <pivotField showAll="0"/>
    <pivotField showAll="0"/>
    <pivotField showAll="0">
      <items count="8">
        <item x="5"/>
        <item x="1"/>
        <item x="2"/>
        <item x="3"/>
        <item x="0"/>
        <item x="4"/>
        <item x="6"/>
        <item t="default"/>
      </items>
    </pivotField>
    <pivotField showAll="0"/>
    <pivotField showAll="0"/>
    <pivotField showAll="0"/>
    <pivotField showAll="0"/>
    <pivotField showAll="0"/>
    <pivotField showAll="0">
      <items count="8">
        <item x="4"/>
        <item x="6"/>
        <item x="1"/>
        <item x="3"/>
        <item x="2"/>
        <item x="5"/>
        <item x="0"/>
        <item t="default"/>
      </items>
    </pivotField>
  </pivotFields>
  <rowFields count="1">
    <field x="1"/>
  </rowFields>
  <rowItems count="3">
    <i>
      <x/>
    </i>
    <i>
      <x v="1"/>
    </i>
    <i t="grand">
      <x/>
    </i>
  </rowItems>
  <colItems count="1">
    <i/>
  </colItems>
  <dataFields count="1">
    <dataField name="Sum of سعر البيع " fld="12" showDataAs="percentOfTotal" baseField="1" baseItem="0" numFmtId="10"/>
  </dataFields>
  <formats count="1">
    <format dxfId="4">
      <pivotArea collapsedLevelsAreSubtotals="1" fieldPosition="0">
        <references count="1">
          <reference field="1" count="0"/>
        </references>
      </pivotArea>
    </format>
  </formats>
  <chartFormats count="10">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D74A306-2193-463E-BB18-CD9FD78B9DC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18:AA21" firstHeaderRow="1" firstDataRow="1" firstDataCol="1"/>
  <pivotFields count="22">
    <pivotField showAll="0"/>
    <pivotField showAll="0"/>
    <pivotField showAll="0"/>
    <pivotField showAll="0"/>
    <pivotField showAll="0"/>
    <pivotField showAll="0"/>
    <pivotField showAll="0"/>
    <pivotField showAll="0"/>
    <pivotField showAll="0"/>
    <pivotField axis="axisRow" dataField="1" showAll="0" measureFilter="1" sortType="ascending">
      <items count="14">
        <item x="3"/>
        <item x="5"/>
        <item x="0"/>
        <item m="1" x="12"/>
        <item x="7"/>
        <item x="9"/>
        <item x="6"/>
        <item x="11"/>
        <item x="4"/>
        <item x="2"/>
        <item x="1"/>
        <item x="8"/>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8">
        <item x="5"/>
        <item x="1"/>
        <item x="2"/>
        <item x="3"/>
        <item x="0"/>
        <item x="4"/>
        <item x="6"/>
        <item t="default"/>
      </items>
    </pivotField>
    <pivotField showAll="0"/>
    <pivotField showAll="0"/>
    <pivotField showAll="0"/>
    <pivotField showAll="0"/>
    <pivotField axis="axisRow" showAll="0" measureFilter="1" sortType="descending">
      <items count="5">
        <item x="0"/>
        <item m="1" x="3"/>
        <item x="2"/>
        <item x="1"/>
        <item t="default"/>
      </items>
      <autoSortScope>
        <pivotArea dataOnly="0" outline="0" fieldPosition="0">
          <references count="1">
            <reference field="4294967294" count="1" selected="0">
              <x v="0"/>
            </reference>
          </references>
        </pivotArea>
      </autoSortScope>
    </pivotField>
    <pivotField showAll="0">
      <items count="8">
        <item x="4"/>
        <item x="6"/>
        <item x="1"/>
        <item x="3"/>
        <item x="2"/>
        <item x="5"/>
        <item x="0"/>
        <item t="default"/>
      </items>
    </pivotField>
  </pivotFields>
  <rowFields count="2">
    <field x="20"/>
    <field x="9"/>
  </rowFields>
  <rowItems count="3">
    <i>
      <x/>
    </i>
    <i r="1">
      <x v="2"/>
    </i>
    <i t="grand">
      <x/>
    </i>
  </rowItems>
  <colItems count="1">
    <i/>
  </colItems>
  <dataFields count="1">
    <dataField name="Count of اللون المعدن" fld="9" subtotal="count" baseField="0" baseItem="0"/>
  </dataFields>
  <pivotTableStyleInfo name="PivotStyleLight16" showRowHeaders="1" showColHeaders="1" showRowStripes="0" showColStripes="0" showLastColumn="1"/>
  <filters count="2">
    <filter fld="9" type="count" evalOrder="-1" id="4" iMeasureFld="0">
      <autoFilter ref="A1">
        <filterColumn colId="0">
          <top10 val="1" filterVal="1"/>
        </filterColumn>
      </autoFilter>
    </filter>
    <filter fld="20"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A9D03C6-F9FB-4135-A02A-C93A70FAE40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K3:AL10" firstHeaderRow="1" firstDataRow="1" firstDataCol="1"/>
  <pivotFields count="22">
    <pivotField showAll="0"/>
    <pivotField showAll="0"/>
    <pivotField axis="axisRow" dataField="1" showAll="0" measureFilter="1" sortType="descending">
      <items count="43">
        <item x="4"/>
        <item x="30"/>
        <item x="14"/>
        <item x="38"/>
        <item x="1"/>
        <item x="9"/>
        <item x="27"/>
        <item x="29"/>
        <item x="24"/>
        <item x="19"/>
        <item x="17"/>
        <item x="26"/>
        <item x="3"/>
        <item x="6"/>
        <item x="28"/>
        <item x="39"/>
        <item x="13"/>
        <item x="31"/>
        <item x="5"/>
        <item x="10"/>
        <item x="21"/>
        <item x="37"/>
        <item x="15"/>
        <item x="23"/>
        <item x="22"/>
        <item x="41"/>
        <item x="8"/>
        <item x="36"/>
        <item x="16"/>
        <item x="35"/>
        <item x="18"/>
        <item x="40"/>
        <item x="2"/>
        <item x="34"/>
        <item x="25"/>
        <item x="20"/>
        <item x="12"/>
        <item x="0"/>
        <item x="32"/>
        <item x="33"/>
        <item x="11"/>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5"/>
        <item x="1"/>
        <item x="2"/>
        <item x="3"/>
        <item x="0"/>
        <item x="4"/>
        <item x="6"/>
        <item t="default"/>
      </items>
    </pivotField>
    <pivotField showAll="0"/>
    <pivotField showAll="0"/>
    <pivotField showAll="0"/>
    <pivotField showAll="0"/>
    <pivotField axis="axisRow" showAll="0" measureFilter="1" sortType="descending">
      <items count="5">
        <item x="0"/>
        <item m="1" x="3"/>
        <item x="2"/>
        <item x="1"/>
        <item t="default"/>
      </items>
      <autoSortScope>
        <pivotArea dataOnly="0" outline="0" fieldPosition="0">
          <references count="1">
            <reference field="4294967294" count="1" selected="0">
              <x v="0"/>
            </reference>
          </references>
        </pivotArea>
      </autoSortScope>
    </pivotField>
    <pivotField showAll="0">
      <items count="8">
        <item x="4"/>
        <item x="6"/>
        <item x="1"/>
        <item x="3"/>
        <item x="2"/>
        <item x="5"/>
        <item x="0"/>
        <item t="default"/>
      </items>
    </pivotField>
  </pivotFields>
  <rowFields count="2">
    <field x="20"/>
    <field x="2"/>
  </rowFields>
  <rowItems count="7">
    <i>
      <x/>
    </i>
    <i r="1">
      <x/>
    </i>
    <i r="1">
      <x v="19"/>
    </i>
    <i r="1">
      <x v="37"/>
    </i>
    <i r="1">
      <x v="24"/>
    </i>
    <i r="1">
      <x v="23"/>
    </i>
    <i t="grand">
      <x/>
    </i>
  </rowItems>
  <colItems count="1">
    <i/>
  </colItems>
  <dataFields count="1">
    <dataField name="Count of العنوان" fld="2" subtotal="count" baseField="0" baseItem="0"/>
  </dataFields>
  <chartFormats count="2">
    <chartFormat chart="3"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0" type="count" evalOrder="-1" id="2" iMeasureFld="0">
      <autoFilter ref="A1">
        <filterColumn colId="0">
          <top10 val="1" filterVal="1"/>
        </filterColumn>
      </autoFilter>
    </filter>
    <filter fld="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06EEA95-8009-4351-AC93-5CD02BCF44A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K3"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8">
        <item x="5"/>
        <item x="1"/>
        <item x="2"/>
        <item x="3"/>
        <item x="0"/>
        <item x="4"/>
        <item x="6"/>
        <item t="default"/>
      </items>
    </pivotField>
    <pivotField showAll="0"/>
    <pivotField showAll="0"/>
    <pivotField showAll="0"/>
    <pivotField showAll="0"/>
    <pivotField showAll="0"/>
    <pivotField showAll="0">
      <items count="8">
        <item x="4"/>
        <item x="6"/>
        <item x="1"/>
        <item x="3"/>
        <item x="2"/>
        <item x="5"/>
        <item x="0"/>
        <item t="default"/>
      </items>
    </pivotField>
  </pivotFields>
  <rowItems count="1">
    <i/>
  </rowItems>
  <colItems count="1">
    <i/>
  </colItems>
  <dataFields count="1">
    <dataField name="Average of سعر البيع "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3918073-6CB8-4391-A36E-CB6FBDCDAA6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16:G67"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dataField="1" numFmtId="1" showAll="0"/>
    <pivotField showAll="0"/>
    <pivotField axis="axisRow" showAll="0">
      <items count="57">
        <item x="55"/>
        <item x="53"/>
        <item x="54"/>
        <item x="4"/>
        <item x="2"/>
        <item x="1"/>
        <item x="3"/>
        <item x="5"/>
        <item x="8"/>
        <item x="9"/>
        <item x="7"/>
        <item x="6"/>
        <item x="10"/>
        <item x="11"/>
        <item x="12"/>
        <item x="14"/>
        <item x="13"/>
        <item x="31"/>
        <item x="22"/>
        <item x="15"/>
        <item x="16"/>
        <item x="19"/>
        <item x="18"/>
        <item x="17"/>
        <item x="29"/>
        <item x="21"/>
        <item x="20"/>
        <item x="23"/>
        <item x="46"/>
        <item x="48"/>
        <item x="49"/>
        <item x="30"/>
        <item x="27"/>
        <item x="26"/>
        <item x="28"/>
        <item x="24"/>
        <item x="25"/>
        <item x="0"/>
        <item x="32"/>
        <item x="34"/>
        <item x="33"/>
        <item x="35"/>
        <item x="36"/>
        <item x="40"/>
        <item x="38"/>
        <item x="37"/>
        <item x="39"/>
        <item x="41"/>
        <item x="45"/>
        <item x="42"/>
        <item x="43"/>
        <item x="47"/>
        <item x="44"/>
        <item x="51"/>
        <item x="50"/>
        <item x="52"/>
        <item t="default"/>
      </items>
    </pivotField>
    <pivotField showAll="0">
      <items count="8">
        <item x="5"/>
        <item x="1"/>
        <item x="2"/>
        <item x="3"/>
        <item x="0"/>
        <item x="4"/>
        <item x="6"/>
        <item t="default"/>
      </items>
    </pivotField>
    <pivotField showAll="0"/>
    <pivotField showAll="0"/>
    <pivotField showAll="0"/>
    <pivotField showAll="0"/>
    <pivotField axis="axisRow" showAll="0">
      <items count="5">
        <item x="0"/>
        <item m="1" x="3"/>
        <item h="1" x="2"/>
        <item h="1" x="1"/>
        <item t="default"/>
      </items>
    </pivotField>
    <pivotField showAll="0">
      <items count="8">
        <item x="4"/>
        <item x="6"/>
        <item x="1"/>
        <item x="3"/>
        <item x="2"/>
        <item x="5"/>
        <item x="0"/>
        <item t="default"/>
      </items>
    </pivotField>
  </pivotFields>
  <rowFields count="2">
    <field x="20"/>
    <field x="14"/>
  </rowFields>
  <rowItems count="51">
    <i>
      <x/>
    </i>
    <i r="1">
      <x v="1"/>
    </i>
    <i r="1">
      <x v="2"/>
    </i>
    <i r="1">
      <x v="3"/>
    </i>
    <i r="1">
      <x v="5"/>
    </i>
    <i r="1">
      <x v="6"/>
    </i>
    <i r="1">
      <x v="7"/>
    </i>
    <i r="1">
      <x v="8"/>
    </i>
    <i r="1">
      <x v="9"/>
    </i>
    <i r="1">
      <x v="10"/>
    </i>
    <i r="1">
      <x v="12"/>
    </i>
    <i r="1">
      <x v="13"/>
    </i>
    <i r="1">
      <x v="14"/>
    </i>
    <i r="1">
      <x v="15"/>
    </i>
    <i r="1">
      <x v="16"/>
    </i>
    <i r="1">
      <x v="17"/>
    </i>
    <i r="1">
      <x v="18"/>
    </i>
    <i r="1">
      <x v="19"/>
    </i>
    <i r="1">
      <x v="20"/>
    </i>
    <i r="1">
      <x v="21"/>
    </i>
    <i r="1">
      <x v="22"/>
    </i>
    <i r="1">
      <x v="23"/>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50"/>
    </i>
    <i r="1">
      <x v="52"/>
    </i>
    <i r="1">
      <x v="53"/>
    </i>
    <i r="1">
      <x v="54"/>
    </i>
    <i r="1">
      <x v="55"/>
    </i>
    <i t="grand">
      <x/>
    </i>
  </rowItems>
  <colItems count="1">
    <i/>
  </colItems>
  <dataFields count="1">
    <dataField name="Sum of سعر البيع " fld="12" baseField="0" baseItem="0"/>
  </dataFields>
  <formats count="1">
    <format dxfId="5">
      <pivotArea collapsedLevelsAreSubtotals="1" fieldPosition="0">
        <references count="2">
          <reference field="14" count="49">
            <x v="1"/>
            <x v="2"/>
            <x v="3"/>
            <x v="5"/>
            <x v="6"/>
            <x v="7"/>
            <x v="8"/>
            <x v="9"/>
            <x v="10"/>
            <x v="12"/>
            <x v="13"/>
            <x v="14"/>
            <x v="15"/>
            <x v="16"/>
            <x v="17"/>
            <x v="18"/>
            <x v="19"/>
            <x v="20"/>
            <x v="21"/>
            <x v="22"/>
            <x v="23"/>
            <x v="25"/>
            <x v="26"/>
            <x v="27"/>
            <x v="28"/>
            <x v="29"/>
            <x v="30"/>
            <x v="31"/>
            <x v="32"/>
            <x v="33"/>
            <x v="34"/>
            <x v="35"/>
            <x v="36"/>
            <x v="37"/>
            <x v="38"/>
            <x v="39"/>
            <x v="40"/>
            <x v="41"/>
            <x v="42"/>
            <x v="43"/>
            <x v="44"/>
            <x v="45"/>
            <x v="46"/>
            <x v="47"/>
            <x v="50"/>
            <x v="52"/>
            <x v="53"/>
            <x v="54"/>
            <x v="55"/>
          </reference>
          <reference field="20" count="0" selected="0"/>
        </references>
      </pivotArea>
    </format>
  </formats>
  <chartFormats count="10">
    <chartFormat chart="5" format="2" series="1">
      <pivotArea type="data" outline="0" fieldPosition="0">
        <references count="1">
          <reference field="4294967294" count="1" selected="0">
            <x v="0"/>
          </reference>
        </references>
      </pivotArea>
    </chartFormat>
    <chartFormat chart="5" format="3">
      <pivotArea type="data" outline="0" fieldPosition="0">
        <references count="3">
          <reference field="4294967294" count="1" selected="0">
            <x v="0"/>
          </reference>
          <reference field="14" count="1" selected="0">
            <x v="10"/>
          </reference>
          <reference field="20" count="1" selected="0">
            <x v="0"/>
          </reference>
        </references>
      </pivotArea>
    </chartFormat>
    <chartFormat chart="5" format="4">
      <pivotArea type="data" outline="0" fieldPosition="0">
        <references count="3">
          <reference field="4294967294" count="1" selected="0">
            <x v="0"/>
          </reference>
          <reference field="14" count="1" selected="0">
            <x v="3"/>
          </reference>
          <reference field="20" count="1" selected="0">
            <x v="0"/>
          </reference>
        </references>
      </pivotArea>
    </chartFormat>
    <chartFormat chart="5" format="5">
      <pivotArea type="data" outline="0" fieldPosition="0">
        <references count="3">
          <reference field="4294967294" count="1" selected="0">
            <x v="0"/>
          </reference>
          <reference field="14" count="1" selected="0">
            <x v="1"/>
          </reference>
          <reference field="20" count="1" selected="0">
            <x v="0"/>
          </reference>
        </references>
      </pivotArea>
    </chartFormat>
    <chartFormat chart="5" format="6">
      <pivotArea type="data" outline="0" fieldPosition="0">
        <references count="3">
          <reference field="4294967294" count="1" selected="0">
            <x v="0"/>
          </reference>
          <reference field="14" count="1" selected="0">
            <x v="27"/>
          </reference>
          <reference field="20" count="1" selected="0">
            <x v="0"/>
          </reference>
        </references>
      </pivotArea>
    </chartFormat>
    <chartFormat chart="5" format="7">
      <pivotArea type="data" outline="0" fieldPosition="0">
        <references count="3">
          <reference field="4294967294" count="1" selected="0">
            <x v="0"/>
          </reference>
          <reference field="14" count="1" selected="0">
            <x v="25"/>
          </reference>
          <reference field="20" count="1" selected="0">
            <x v="0"/>
          </reference>
        </references>
      </pivotArea>
    </chartFormat>
    <chartFormat chart="5" format="8">
      <pivotArea type="data" outline="0" fieldPosition="0">
        <references count="3">
          <reference field="4294967294" count="1" selected="0">
            <x v="0"/>
          </reference>
          <reference field="14" count="1" selected="0">
            <x v="19"/>
          </reference>
          <reference field="20" count="1" selected="0">
            <x v="0"/>
          </reference>
        </references>
      </pivotArea>
    </chartFormat>
    <chartFormat chart="5" format="9">
      <pivotArea type="data" outline="0" fieldPosition="0">
        <references count="3">
          <reference field="4294967294" count="1" selected="0">
            <x v="0"/>
          </reference>
          <reference field="14" count="1" selected="0">
            <x v="18"/>
          </reference>
          <reference field="20" count="1" selected="0">
            <x v="0"/>
          </reference>
        </references>
      </pivotArea>
    </chartFormat>
    <chartFormat chart="5" format="10">
      <pivotArea type="data" outline="0" fieldPosition="0">
        <references count="3">
          <reference field="4294967294" count="1" selected="0">
            <x v="0"/>
          </reference>
          <reference field="14" count="1" selected="0">
            <x v="53"/>
          </reference>
          <reference field="20" count="1" selected="0">
            <x v="0"/>
          </reference>
        </references>
      </pivotArea>
    </chartFormat>
    <chartFormat chart="5" format="11">
      <pivotArea type="data" outline="0" fieldPosition="0">
        <references count="3">
          <reference field="4294967294" count="1" selected="0">
            <x v="0"/>
          </reference>
          <reference field="14" count="1" selected="0">
            <x v="29"/>
          </reference>
          <reference field="2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شهر" xr10:uid="{DFC2493A-5F96-4D03-A5AE-CC403B510AFD}" sourceName="الشهر">
  <pivotTables>
    <pivotTable tabId="5" name="PivotTable11"/>
    <pivotTable tabId="5" name="PivotTable1"/>
    <pivotTable tabId="5" name="PivotTable10"/>
    <pivotTable tabId="5" name="PivotTable13"/>
    <pivotTable tabId="5" name="PivotTable14"/>
    <pivotTable tabId="5" name="PivotTable17"/>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398506404">
      <items count="7">
        <i x="5" s="1"/>
        <i x="1" s="1"/>
        <i x="2" s="1"/>
        <i x="3" s="1"/>
        <i x="0" s="1"/>
        <i x="4"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سئول" xr10:uid="{49342BD6-A737-40E3-8BB7-AC49E6593195}" sourceName="المسئول">
  <pivotTables>
    <pivotTable tabId="5" name="PivotTable11"/>
    <pivotTable tabId="5" name="PivotTable1"/>
    <pivotTable tabId="5" name="PivotTable10"/>
    <pivotTable tabId="5" name="PivotTable13"/>
    <pivotTable tabId="5" name="PivotTable14"/>
    <pivotTable tabId="5" name="PivotTable17"/>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398506404">
      <items count="7">
        <i x="4" s="1"/>
        <i x="6" s="1"/>
        <i x="1" s="1"/>
        <i x="3" s="1"/>
        <i x="2"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سئول" xr10:uid="{CF2634B3-A933-42CE-A064-164511E3DB09}" cache="Slicer_المسئول" caption="المسئول" columnCount="3" style="Slicer Style 1" rowHeight="54864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شهر 1" xr10:uid="{23769566-76A6-47BF-8D28-9DFC5C914A07}" cache="Slicer_الشهر" caption="الشهر" style="Slicer Style 1"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C5D160-40A7-4CC0-A657-B7AC199D8FC2}" name="data" displayName="data" ref="A1:V126" totalsRowShown="0" headerRowDxfId="53" dataDxfId="51" headerRowBorderDxfId="52" tableBorderDxfId="50">
  <autoFilter ref="A1:V126" xr:uid="{00000000-0001-0000-0000-000000000000}">
    <filterColumn colId="9">
      <filters>
        <filter val="اسود"/>
      </filters>
    </filterColumn>
    <filterColumn colId="16">
      <filters>
        <dateGroupItem year="2025" dateTimeGrouping="year"/>
        <dateGroupItem year="2024" dateTimeGrouping="year"/>
      </filters>
    </filterColumn>
  </autoFilter>
  <sortState xmlns:xlrd2="http://schemas.microsoft.com/office/spreadsheetml/2017/richdata2" ref="A2:U126">
    <sortCondition ref="Q1:Q126"/>
  </sortState>
  <tableColumns count="22">
    <tableColumn id="4" xr3:uid="{8AE5660A-2C15-4987-BEF1-017958F6717D}" name="أسم العميل" dataDxfId="49" totalsRowDxfId="48"/>
    <tableColumn id="2" xr3:uid="{B7F28347-6936-4AA9-964C-EDD18DF8F11C}" name="نوع العميل " dataDxfId="47" totalsRowDxfId="46">
      <calculatedColumnFormula>IF(OR(data[[#This Row],[أسم العميل]]="اوسكار راتن",data[[#This Row],[أسم العميل]]="تاكى",data[[#This Row],[أسم العميل]]="شيك هومز"),"شركة","افراد")</calculatedColumnFormula>
    </tableColumn>
    <tableColumn id="5" xr3:uid="{4FE48A6F-A84C-4E3B-BD75-099E1B14CB00}" name="العنوان" dataDxfId="45" totalsRowDxfId="44"/>
    <tableColumn id="6" xr3:uid="{F396764A-C924-4EA7-9A52-92270A6F08D6}" name="محافظة" dataDxfId="43" totalsRowDxfId="42"/>
    <tableColumn id="7" xr3:uid="{94F2D686-B9FC-4A15-860F-88B5A58586A9}" name="منصة البيع " dataDxfId="41" totalsRowDxfId="40"/>
    <tableColumn id="8" xr3:uid="{E5E4E84C-50C4-4058-9789-3A6991323A35}" name="نوع المنتج " dataDxfId="39" totalsRowDxfId="38"/>
    <tableColumn id="9" xr3:uid="{A3CCBFC3-0399-4BD2-B03D-7ED8B4F1CBA4}" name="الشكل" dataDxfId="37" totalsRowDxfId="36"/>
    <tableColumn id="10" xr3:uid="{C7885AD0-5E59-48C3-8C99-E3F88658CADA}" name="الماركة" dataDxfId="35" totalsRowDxfId="34"/>
    <tableColumn id="11" xr3:uid="{CDCFFFDB-4EBA-46D1-9A24-6D474C15F72D}" name="المقاس" dataDxfId="33" totalsRowDxfId="32"/>
    <tableColumn id="12" xr3:uid="{1981442D-65D0-41A7-BD4C-B10CA9172D4C}" name="اللون المعدن" dataDxfId="31" totalsRowDxfId="30"/>
    <tableColumn id="13" xr3:uid="{75CF5ADC-2FEA-40B1-B815-E4E48FEB18B6}" name="لون القماش" dataDxfId="29" totalsRowDxfId="28"/>
    <tableColumn id="14" xr3:uid="{E116ACFE-82DD-4A1A-A5A7-C2C0FB9B771E}" name="اسم المنتج بالكامل" dataDxfId="27" totalsRowDxfId="26"/>
    <tableColumn id="15" xr3:uid="{126DCDE1-F640-48A5-9331-B796FC85D54C}" name="سعر البيع " dataDxfId="25" totalsRowDxfId="24"/>
    <tableColumn id="16" xr3:uid="{92D1D66D-2388-49E8-9EEC-F1E0AA5C6D80}" name="طريقه الدفع " dataDxfId="23" totalsRowDxfId="22"/>
    <tableColumn id="17" xr3:uid="{A8168D36-EDDC-487A-A474-9FFF9FCE68AF}" name="ميعاد الطلب" dataDxfId="21" totalsRowDxfId="20"/>
    <tableColumn id="1" xr3:uid="{EB355575-5B6A-481D-BC99-F950866A3321}" name="الشهر" dataDxfId="19" totalsRowDxfId="18">
      <calculatedColumnFormula>TEXT(data[[#This Row],[ميعاد الطلب]], "mmmm")</calculatedColumnFormula>
    </tableColumn>
    <tableColumn id="18" xr3:uid="{817B3531-224C-40AB-B6A3-27DCD0C46B3B}" name="ميعاد التسليم" dataDxfId="17" totalsRowDxfId="16"/>
    <tableColumn id="19" xr3:uid="{0D4A4567-EB21-44A0-A6CC-99E43B9239DA}" name="تاريخ التسليم" dataDxfId="15" totalsRowDxfId="14"/>
    <tableColumn id="22" xr3:uid="{1865D420-E598-47A0-8599-DDB8768DF8ED}" name="استلام ف الموعد" dataDxfId="13" totalsRowDxfId="12">
      <calculatedColumnFormula array="1">_xlfn.IFS(
OR(data[[#This Row],[تاريخ التسليم]]="-",data[[#This Row],[ميعاد التسليم]]="-"),"غير محدد",
data[[#This Row],[ميعاد التسليم]] &lt;= data[[#This Row],[تاريخ التسليم]],"في الموعد",
TRUE,"متأخر"
)</calculatedColumnFormula>
    </tableColumn>
    <tableColumn id="20" xr3:uid="{8D4FBAD3-4EA0-4FF1-85DF-E92F8B1B42DB}" name="المسئول عن التسليم" dataDxfId="11" totalsRowDxfId="10"/>
    <tableColumn id="21" xr3:uid="{582AFDEC-9547-42E2-9E96-98A26573CAF8}" name="الحالة" dataDxfId="9" totalsRowDxfId="8"/>
    <tableColumn id="3" xr3:uid="{D3C627D9-E070-412C-884D-55CD9F4F887F}" name="المسئول" dataDxfId="7" totalsRowDxfId="6">
      <calculatedColumnFormula>TRIM(data[[#This Row],[المسئول عن التسليم]])</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1038"/>
  <sheetViews>
    <sheetView zoomScale="70" zoomScaleNormal="70" workbookViewId="0">
      <selection activeCell="F31" sqref="F31"/>
    </sheetView>
  </sheetViews>
  <sheetFormatPr defaultColWidth="8.88671875" defaultRowHeight="15.6" x14ac:dyDescent="0.3"/>
  <cols>
    <col min="1" max="1" width="15.21875" style="3" bestFit="1" customWidth="1"/>
    <col min="2" max="2" width="15.21875" style="3" customWidth="1"/>
    <col min="3" max="3" width="35" style="3" bestFit="1" customWidth="1"/>
    <col min="4" max="4" width="27" style="3" customWidth="1"/>
    <col min="5" max="5" width="12.88671875" style="3" customWidth="1"/>
    <col min="6" max="6" width="20.6640625" style="24" customWidth="1"/>
    <col min="7" max="7" width="18.44140625" style="3" customWidth="1"/>
    <col min="8" max="8" width="12.5546875" style="3" customWidth="1"/>
    <col min="9" max="9" width="14.109375" style="25" customWidth="1"/>
    <col min="10" max="10" width="18.33203125" style="3" customWidth="1"/>
    <col min="11" max="11" width="14.5546875" style="3" bestFit="1" customWidth="1"/>
    <col min="12" max="12" width="41.109375" style="3" bestFit="1" customWidth="1"/>
    <col min="13" max="13" width="17.5546875" style="25" customWidth="1"/>
    <col min="14" max="14" width="18" style="26" customWidth="1"/>
    <col min="15" max="15" width="14.88671875" style="27" customWidth="1"/>
    <col min="16" max="16" width="14.88671875" style="55" customWidth="1"/>
    <col min="17" max="17" width="17.109375" style="27" customWidth="1"/>
    <col min="18" max="18" width="23.77734375" style="3" bestFit="1" customWidth="1"/>
    <col min="19" max="19" width="23.77734375" style="3" customWidth="1"/>
    <col min="20" max="20" width="33" style="3" customWidth="1"/>
    <col min="21" max="21" width="12.88671875" style="1" customWidth="1"/>
    <col min="22" max="16384" width="8.88671875" style="3"/>
  </cols>
  <sheetData>
    <row r="1" spans="1:22" s="47" customFormat="1" ht="20.100000000000001" customHeight="1" x14ac:dyDescent="0.3">
      <c r="A1" s="42" t="s">
        <v>0</v>
      </c>
      <c r="B1" s="42" t="s">
        <v>292</v>
      </c>
      <c r="C1" s="42" t="s">
        <v>1</v>
      </c>
      <c r="D1" s="42" t="s">
        <v>258</v>
      </c>
      <c r="E1" s="42" t="s">
        <v>4</v>
      </c>
      <c r="F1" s="42" t="s">
        <v>242</v>
      </c>
      <c r="G1" s="42" t="s">
        <v>243</v>
      </c>
      <c r="H1" s="42" t="s">
        <v>244</v>
      </c>
      <c r="I1" s="43" t="s">
        <v>150</v>
      </c>
      <c r="J1" s="42" t="s">
        <v>154</v>
      </c>
      <c r="K1" s="42" t="s">
        <v>155</v>
      </c>
      <c r="L1" s="41" t="s">
        <v>245</v>
      </c>
      <c r="M1" s="43" t="s">
        <v>6</v>
      </c>
      <c r="N1" s="44" t="s">
        <v>7</v>
      </c>
      <c r="O1" s="45" t="s">
        <v>9</v>
      </c>
      <c r="P1" s="53" t="s">
        <v>299</v>
      </c>
      <c r="Q1" s="45" t="s">
        <v>8</v>
      </c>
      <c r="R1" s="42" t="s">
        <v>2</v>
      </c>
      <c r="S1" s="42" t="s">
        <v>287</v>
      </c>
      <c r="T1" s="42" t="s">
        <v>3</v>
      </c>
      <c r="U1" s="46" t="s">
        <v>161</v>
      </c>
      <c r="V1" s="42" t="s">
        <v>304</v>
      </c>
    </row>
    <row r="2" spans="1:22" ht="20.100000000000001" customHeight="1" x14ac:dyDescent="0.3">
      <c r="A2" s="4" t="s">
        <v>293</v>
      </c>
      <c r="B2" s="4" t="str">
        <f>IF(OR(data[[#This Row],[أسم العميل]]="اوسكار راتن",data[[#This Row],[أسم العميل]]="تاكى",data[[#This Row],[أسم العميل]]="شيك هومز"),"شركة","افراد")</f>
        <v>شركة</v>
      </c>
      <c r="C2" s="4" t="s">
        <v>181</v>
      </c>
      <c r="D2" s="4" t="s">
        <v>253</v>
      </c>
      <c r="E2" s="4" t="s">
        <v>22</v>
      </c>
      <c r="F2" s="4" t="s">
        <v>142</v>
      </c>
      <c r="G2" s="4" t="s">
        <v>140</v>
      </c>
      <c r="H2" s="4" t="s">
        <v>198</v>
      </c>
      <c r="I2" s="5" t="s">
        <v>246</v>
      </c>
      <c r="J2" s="4" t="s">
        <v>144</v>
      </c>
      <c r="K2" s="4" t="s">
        <v>199</v>
      </c>
      <c r="L2" s="6"/>
      <c r="M2" s="5">
        <v>15872</v>
      </c>
      <c r="N2" s="7" t="s">
        <v>200</v>
      </c>
      <c r="O2" s="8">
        <v>45604</v>
      </c>
      <c r="P2" s="39" t="str">
        <f>TEXT(data[[#This Row],[ميعاد الطلب]], "mmmm")</f>
        <v>November</v>
      </c>
      <c r="Q2" s="8">
        <v>45363</v>
      </c>
      <c r="R2" s="8">
        <v>45610</v>
      </c>
      <c r="S2" s="8" t="str" cm="1">
        <f t="array" ref="S2">_xlfn.IFS(
OR(data[[#This Row],[تاريخ التسليم]]="-",data[[#This Row],[ميعاد التسليم]]="-"),"غير محدد",
data[[#This Row],[ميعاد التسليم]] &lt;= data[[#This Row],[تاريخ التسليم]],"في الموعد",
TRUE,"متأخر"
)</f>
        <v>في الموعد</v>
      </c>
      <c r="T2" s="3" t="s">
        <v>300</v>
      </c>
      <c r="U2" s="3" t="s">
        <v>164</v>
      </c>
      <c r="V2" s="8" t="str">
        <f>TRIM(data[[#This Row],[المسئول عن التسليم]])</f>
        <v>محمود على</v>
      </c>
    </row>
    <row r="3" spans="1:22" ht="20.100000000000001" hidden="1" customHeight="1" x14ac:dyDescent="0.3">
      <c r="A3" s="6" t="s">
        <v>24</v>
      </c>
      <c r="B3" s="4" t="str">
        <f>IF(OR(data[[#This Row],[أسم العميل]]="اوسكار راتن",data[[#This Row],[أسم العميل]]="تاكى",data[[#This Row],[أسم العميل]]="شيك هومز"),"شركة","افراد")</f>
        <v>افراد</v>
      </c>
      <c r="C3" s="6" t="s">
        <v>25</v>
      </c>
      <c r="D3" s="6" t="s">
        <v>253</v>
      </c>
      <c r="E3" s="4" t="s">
        <v>26</v>
      </c>
      <c r="F3" s="4" t="s">
        <v>142</v>
      </c>
      <c r="G3" s="6" t="s">
        <v>140</v>
      </c>
      <c r="H3" s="4" t="s">
        <v>246</v>
      </c>
      <c r="I3" s="4" t="s">
        <v>246</v>
      </c>
      <c r="J3" s="4" t="s">
        <v>246</v>
      </c>
      <c r="K3" s="4" t="s">
        <v>246</v>
      </c>
      <c r="L3" s="6" t="s">
        <v>23</v>
      </c>
      <c r="M3" s="9">
        <v>12000</v>
      </c>
      <c r="N3" s="10">
        <v>12000</v>
      </c>
      <c r="O3" s="11">
        <v>45521</v>
      </c>
      <c r="P3" s="39" t="str">
        <f>TEXT(data[[#This Row],[ميعاد الطلب]], "mmmm")</f>
        <v>August</v>
      </c>
      <c r="Q3" s="8">
        <v>45524</v>
      </c>
      <c r="R3" s="11">
        <v>45523</v>
      </c>
      <c r="S3" s="8" t="str" cm="1">
        <f t="array" ref="S3">_xlfn.IFS(
OR(data[[#This Row],[تاريخ التسليم]]="-",data[[#This Row],[ميعاد التسليم]]="-"),"غير محدد",
data[[#This Row],[ميعاد التسليم]] &lt;= data[[#This Row],[تاريخ التسليم]],"في الموعد",
TRUE,"متأخر"
)</f>
        <v>متأخر</v>
      </c>
      <c r="T3" s="3" t="s">
        <v>301</v>
      </c>
      <c r="U3" s="3" t="s">
        <v>164</v>
      </c>
      <c r="V3" s="8" t="str">
        <f>TRIM(data[[#This Row],[المسئول عن التسليم]])</f>
        <v>شركه شحن</v>
      </c>
    </row>
    <row r="4" spans="1:22" ht="20.100000000000001" hidden="1" customHeight="1" x14ac:dyDescent="0.3">
      <c r="A4" s="6" t="s">
        <v>20</v>
      </c>
      <c r="B4" s="4" t="str">
        <f>IF(OR(data[[#This Row],[أسم العميل]]="اوسكار راتن",data[[#This Row],[أسم العميل]]="تاكى",data[[#This Row],[أسم العميل]]="شيك هومز"),"شركة","افراد")</f>
        <v>افراد</v>
      </c>
      <c r="C4" s="6" t="s">
        <v>251</v>
      </c>
      <c r="D4" s="6" t="s">
        <v>252</v>
      </c>
      <c r="E4" s="4" t="s">
        <v>5</v>
      </c>
      <c r="F4" s="4" t="s">
        <v>129</v>
      </c>
      <c r="G4" s="6" t="s">
        <v>141</v>
      </c>
      <c r="H4" s="6" t="s">
        <v>131</v>
      </c>
      <c r="I4" s="9">
        <v>100</v>
      </c>
      <c r="J4" s="6" t="s">
        <v>148</v>
      </c>
      <c r="K4" s="4" t="s">
        <v>246</v>
      </c>
      <c r="L4" s="6" t="s">
        <v>21</v>
      </c>
      <c r="M4" s="9">
        <v>12833</v>
      </c>
      <c r="N4" s="10">
        <v>12974.22</v>
      </c>
      <c r="O4" s="11">
        <v>45520</v>
      </c>
      <c r="P4" s="39" t="str">
        <f>TEXT(data[[#This Row],[ميعاد الطلب]], "mmmm")</f>
        <v>August</v>
      </c>
      <c r="Q4" s="8">
        <v>45535</v>
      </c>
      <c r="R4" s="6" t="s">
        <v>267</v>
      </c>
      <c r="S4" s="8" t="str" cm="1">
        <f t="array" ref="S4">_xlfn.IFS(
OR(data[[#This Row],[تاريخ التسليم]]="-",data[[#This Row],[ميعاد التسليم]]="-"),"غير محدد",
data[[#This Row],[ميعاد التسليم]] &lt;= data[[#This Row],[تاريخ التسليم]],"في الموعد",
TRUE,"متأخر"
)</f>
        <v>غير محدد</v>
      </c>
      <c r="T4" s="3" t="s">
        <v>162</v>
      </c>
      <c r="U4" s="3" t="s">
        <v>162</v>
      </c>
      <c r="V4" s="8" t="str">
        <f>TRIM(data[[#This Row],[المسئول عن التسليم]])</f>
        <v>فشل التسليم</v>
      </c>
    </row>
    <row r="5" spans="1:22" ht="20.100000000000001" hidden="1" customHeight="1" x14ac:dyDescent="0.3">
      <c r="A5" s="6" t="s">
        <v>32</v>
      </c>
      <c r="B5" s="4" t="str">
        <f>IF(OR(data[[#This Row],[أسم العميل]]="اوسكار راتن",data[[#This Row],[أسم العميل]]="تاكى",data[[#This Row],[أسم العميل]]="شيك هومز"),"شركة","افراد")</f>
        <v>شركة</v>
      </c>
      <c r="C5" s="6" t="s">
        <v>31</v>
      </c>
      <c r="D5" s="6" t="s">
        <v>253</v>
      </c>
      <c r="E5" s="4" t="s">
        <v>32</v>
      </c>
      <c r="F5" s="6" t="s">
        <v>136</v>
      </c>
      <c r="G5" s="4" t="s">
        <v>138</v>
      </c>
      <c r="H5" s="4" t="s">
        <v>246</v>
      </c>
      <c r="I5" s="4" t="s">
        <v>246</v>
      </c>
      <c r="J5" s="4" t="s">
        <v>246</v>
      </c>
      <c r="K5" s="4" t="s">
        <v>246</v>
      </c>
      <c r="L5" s="6" t="s">
        <v>33</v>
      </c>
      <c r="M5" s="9">
        <v>22000</v>
      </c>
      <c r="N5" s="10">
        <v>22000</v>
      </c>
      <c r="O5" s="11">
        <v>45523</v>
      </c>
      <c r="P5" s="39" t="str">
        <f>TEXT(data[[#This Row],[ميعاد الطلب]], "mmmm")</f>
        <v>August</v>
      </c>
      <c r="Q5" s="11">
        <v>45536</v>
      </c>
      <c r="R5" s="11">
        <v>45552</v>
      </c>
      <c r="S5" s="8" t="str" cm="1">
        <f t="array" ref="S5">_xlfn.IFS(
OR(data[[#This Row],[تاريخ التسليم]]="-",data[[#This Row],[ميعاد التسليم]]="-"),"غير محدد",
data[[#This Row],[ميعاد التسليم]] &lt;= data[[#This Row],[تاريخ التسليم]],"في الموعد",
TRUE,"متأخر"
)</f>
        <v>في الموعد</v>
      </c>
      <c r="T5" s="3" t="s">
        <v>246</v>
      </c>
      <c r="U5" s="3" t="s">
        <v>164</v>
      </c>
      <c r="V5" s="8" t="str">
        <f>TRIM(data[[#This Row],[المسئول عن التسليم]])</f>
        <v>غير محدد</v>
      </c>
    </row>
    <row r="6" spans="1:22" ht="20.100000000000001" hidden="1" customHeight="1" x14ac:dyDescent="0.3">
      <c r="A6" s="4" t="s">
        <v>293</v>
      </c>
      <c r="B6" s="4" t="str">
        <f>IF(OR(data[[#This Row],[أسم العميل]]="اوسكار راتن",data[[#This Row],[أسم العميل]]="تاكى",data[[#This Row],[أسم العميل]]="شيك هومز"),"شركة","افراد")</f>
        <v>شركة</v>
      </c>
      <c r="C6" s="6" t="s">
        <v>181</v>
      </c>
      <c r="D6" s="6" t="s">
        <v>253</v>
      </c>
      <c r="E6" s="4" t="s">
        <v>22</v>
      </c>
      <c r="F6" s="4" t="s">
        <v>142</v>
      </c>
      <c r="G6" s="6" t="s">
        <v>140</v>
      </c>
      <c r="H6" s="6" t="s">
        <v>246</v>
      </c>
      <c r="I6" s="6" t="s">
        <v>246</v>
      </c>
      <c r="J6" s="6" t="s">
        <v>246</v>
      </c>
      <c r="K6" s="4" t="s">
        <v>246</v>
      </c>
      <c r="L6" s="6" t="s">
        <v>23</v>
      </c>
      <c r="M6" s="9">
        <v>14550</v>
      </c>
      <c r="N6" s="10" t="s">
        <v>12</v>
      </c>
      <c r="O6" s="11">
        <v>45518</v>
      </c>
      <c r="P6" s="39" t="str">
        <f>TEXT(data[[#This Row],[ميعاد الطلب]], "mmmm")</f>
        <v>August</v>
      </c>
      <c r="Q6" s="11">
        <v>45538</v>
      </c>
      <c r="R6" s="11">
        <v>45540</v>
      </c>
      <c r="S6" s="8" t="str" cm="1">
        <f t="array" ref="S6">_xlfn.IFS(
OR(data[[#This Row],[تاريخ التسليم]]="-",data[[#This Row],[ميعاد التسليم]]="-"),"غير محدد",
data[[#This Row],[ميعاد التسليم]] &lt;= data[[#This Row],[تاريخ التسليم]],"في الموعد",
TRUE,"متأخر"
)</f>
        <v>في الموعد</v>
      </c>
      <c r="T6" s="3" t="s">
        <v>301</v>
      </c>
      <c r="U6" s="3" t="s">
        <v>164</v>
      </c>
      <c r="V6" s="8" t="str">
        <f>TRIM(data[[#This Row],[المسئول عن التسليم]])</f>
        <v>شركه شحن</v>
      </c>
    </row>
    <row r="7" spans="1:22" ht="20.100000000000001" hidden="1" customHeight="1" x14ac:dyDescent="0.3">
      <c r="A7" s="6" t="s">
        <v>28</v>
      </c>
      <c r="B7" s="4" t="str">
        <f>IF(OR(data[[#This Row],[أسم العميل]]="اوسكار راتن",data[[#This Row],[أسم العميل]]="تاكى",data[[#This Row],[أسم العميل]]="شيك هومز"),"شركة","افراد")</f>
        <v>افراد</v>
      </c>
      <c r="C7" s="6" t="s">
        <v>256</v>
      </c>
      <c r="D7" s="6" t="s">
        <v>257</v>
      </c>
      <c r="E7" s="6" t="s">
        <v>5</v>
      </c>
      <c r="F7" s="6" t="s">
        <v>129</v>
      </c>
      <c r="G7" s="6" t="s">
        <v>132</v>
      </c>
      <c r="H7" s="4" t="s">
        <v>246</v>
      </c>
      <c r="I7" s="4" t="s">
        <v>246</v>
      </c>
      <c r="J7" s="4" t="s">
        <v>246</v>
      </c>
      <c r="K7" s="4" t="s">
        <v>246</v>
      </c>
      <c r="L7" s="6" t="s">
        <v>29</v>
      </c>
      <c r="M7" s="9">
        <v>7228</v>
      </c>
      <c r="N7" s="10" t="s">
        <v>12</v>
      </c>
      <c r="O7" s="11">
        <v>45529</v>
      </c>
      <c r="P7" s="39" t="str">
        <f>TEXT(data[[#This Row],[ميعاد الطلب]], "mmmm")</f>
        <v>August</v>
      </c>
      <c r="Q7" s="11">
        <v>45538</v>
      </c>
      <c r="R7" s="11">
        <v>45545</v>
      </c>
      <c r="S7" s="8" t="str" cm="1">
        <f t="array" ref="S7">_xlfn.IFS(
OR(data[[#This Row],[تاريخ التسليم]]="-",data[[#This Row],[ميعاد التسليم]]="-"),"غير محدد",
data[[#This Row],[ميعاد التسليم]] &lt;= data[[#This Row],[تاريخ التسليم]],"في الموعد",
TRUE,"متأخر"
)</f>
        <v>في الموعد</v>
      </c>
      <c r="T7" s="3" t="s">
        <v>301</v>
      </c>
      <c r="U7" s="3" t="s">
        <v>164</v>
      </c>
      <c r="V7" s="8" t="str">
        <f>TRIM(data[[#This Row],[المسئول عن التسليم]])</f>
        <v>شركه شحن</v>
      </c>
    </row>
    <row r="8" spans="1:22" ht="20.100000000000001" hidden="1" customHeight="1" x14ac:dyDescent="0.3">
      <c r="A8" s="6" t="s">
        <v>17</v>
      </c>
      <c r="B8" s="4" t="str">
        <f>IF(OR(data[[#This Row],[أسم العميل]]="اوسكار راتن",data[[#This Row],[أسم العميل]]="تاكى",data[[#This Row],[أسم العميل]]="شيك هومز"),"شركة","افراد")</f>
        <v>افراد</v>
      </c>
      <c r="C8" s="6" t="s">
        <v>18</v>
      </c>
      <c r="D8" s="13" t="s">
        <v>263</v>
      </c>
      <c r="E8" s="6" t="s">
        <v>5</v>
      </c>
      <c r="F8" s="6" t="s">
        <v>219</v>
      </c>
      <c r="G8" s="6" t="s">
        <v>246</v>
      </c>
      <c r="H8" s="4" t="s">
        <v>246</v>
      </c>
      <c r="I8" s="4" t="s">
        <v>246</v>
      </c>
      <c r="J8" s="4" t="s">
        <v>246</v>
      </c>
      <c r="K8" s="4" t="s">
        <v>246</v>
      </c>
      <c r="L8" s="6" t="s">
        <v>19</v>
      </c>
      <c r="M8" s="9">
        <v>8642</v>
      </c>
      <c r="N8" s="10" t="s">
        <v>12</v>
      </c>
      <c r="O8" s="11">
        <v>45529</v>
      </c>
      <c r="P8" s="39" t="str">
        <f>TEXT(data[[#This Row],[ميعاد الطلب]], "mmmm")</f>
        <v>August</v>
      </c>
      <c r="Q8" s="11">
        <v>45542</v>
      </c>
      <c r="R8" s="11">
        <v>45531</v>
      </c>
      <c r="S8" s="8" t="str" cm="1">
        <f t="array" ref="S8">_xlfn.IFS(
OR(data[[#This Row],[تاريخ التسليم]]="-",data[[#This Row],[ميعاد التسليم]]="-"),"غير محدد",
data[[#This Row],[ميعاد التسليم]] &lt;= data[[#This Row],[تاريخ التسليم]],"في الموعد",
TRUE,"متأخر"
)</f>
        <v>متأخر</v>
      </c>
      <c r="T8" s="3" t="s">
        <v>301</v>
      </c>
      <c r="U8" s="3" t="s">
        <v>164</v>
      </c>
      <c r="V8" s="8" t="str">
        <f>TRIM(data[[#This Row],[المسئول عن التسليم]])</f>
        <v>شركه شحن</v>
      </c>
    </row>
    <row r="9" spans="1:22" ht="20.100000000000001" hidden="1" customHeight="1" x14ac:dyDescent="0.3">
      <c r="A9" s="6" t="s">
        <v>53</v>
      </c>
      <c r="B9" s="4" t="str">
        <f>IF(OR(data[[#This Row],[أسم العميل]]="اوسكار راتن",data[[#This Row],[أسم العميل]]="تاكى",data[[#This Row],[أسم العميل]]="شيك هومز"),"شركة","افراد")</f>
        <v>افراد</v>
      </c>
      <c r="C9" s="6" t="s">
        <v>256</v>
      </c>
      <c r="D9" s="6" t="s">
        <v>257</v>
      </c>
      <c r="E9" s="4" t="s">
        <v>5</v>
      </c>
      <c r="F9" s="4" t="s">
        <v>129</v>
      </c>
      <c r="G9" s="6" t="s">
        <v>132</v>
      </c>
      <c r="H9" s="4" t="s">
        <v>131</v>
      </c>
      <c r="I9" s="5">
        <v>80</v>
      </c>
      <c r="J9" s="4" t="s">
        <v>143</v>
      </c>
      <c r="K9" s="4" t="s">
        <v>246</v>
      </c>
      <c r="L9" s="6" t="s">
        <v>54</v>
      </c>
      <c r="M9" s="9">
        <v>7295</v>
      </c>
      <c r="N9" s="10">
        <v>5895</v>
      </c>
      <c r="O9" s="11">
        <v>45540</v>
      </c>
      <c r="P9" s="39" t="str">
        <f>TEXT(data[[#This Row],[ميعاد الطلب]], "mmmm")</f>
        <v>September</v>
      </c>
      <c r="Q9" s="11">
        <v>45549</v>
      </c>
      <c r="R9" s="6" t="s">
        <v>267</v>
      </c>
      <c r="S9" s="8" t="str" cm="1">
        <f t="array" ref="S9">_xlfn.IFS(
OR(data[[#This Row],[تاريخ التسليم]]="-",data[[#This Row],[ميعاد التسليم]]="-"),"غير محدد",
data[[#This Row],[ميعاد التسليم]] &lt;= data[[#This Row],[تاريخ التسليم]],"في الموعد",
TRUE,"متأخر"
)</f>
        <v>غير محدد</v>
      </c>
      <c r="T9" s="3" t="s">
        <v>162</v>
      </c>
      <c r="U9" s="3" t="s">
        <v>162</v>
      </c>
      <c r="V9" s="8" t="str">
        <f>TRIM(data[[#This Row],[المسئول عن التسليم]])</f>
        <v>فشل التسليم</v>
      </c>
    </row>
    <row r="10" spans="1:22" ht="20.100000000000001" hidden="1" customHeight="1" x14ac:dyDescent="0.3">
      <c r="A10" s="6" t="s">
        <v>32</v>
      </c>
      <c r="B10" s="4" t="str">
        <f>IF(OR(data[[#This Row],[أسم العميل]]="اوسكار راتن",data[[#This Row],[أسم العميل]]="تاكى",data[[#This Row],[أسم العميل]]="شيك هومز"),"شركة","افراد")</f>
        <v>شركة</v>
      </c>
      <c r="C10" s="6" t="s">
        <v>35</v>
      </c>
      <c r="D10" s="6" t="s">
        <v>253</v>
      </c>
      <c r="E10" s="6" t="s">
        <v>32</v>
      </c>
      <c r="F10" s="6" t="s">
        <v>142</v>
      </c>
      <c r="G10" s="6" t="s">
        <v>137</v>
      </c>
      <c r="H10" s="4" t="s">
        <v>246</v>
      </c>
      <c r="I10" s="4" t="s">
        <v>246</v>
      </c>
      <c r="J10" s="4" t="s">
        <v>246</v>
      </c>
      <c r="K10" s="4" t="s">
        <v>246</v>
      </c>
      <c r="L10" s="6" t="s">
        <v>36</v>
      </c>
      <c r="M10" s="9">
        <v>6000</v>
      </c>
      <c r="N10" s="10">
        <v>12000</v>
      </c>
      <c r="O10" s="11">
        <v>45529</v>
      </c>
      <c r="P10" s="39" t="str">
        <f>TEXT(data[[#This Row],[ميعاد الطلب]], "mmmm")</f>
        <v>August</v>
      </c>
      <c r="Q10" s="11">
        <v>45550</v>
      </c>
      <c r="R10" s="8">
        <v>45552</v>
      </c>
      <c r="S10" s="8" t="str" cm="1">
        <f t="array" ref="S10">_xlfn.IFS(
OR(data[[#This Row],[تاريخ التسليم]]="-",data[[#This Row],[ميعاد التسليم]]="-"),"غير محدد",
data[[#This Row],[ميعاد التسليم]] &lt;= data[[#This Row],[تاريخ التسليم]],"في الموعد",
TRUE,"متأخر"
)</f>
        <v>في الموعد</v>
      </c>
      <c r="T10" s="3" t="s">
        <v>300</v>
      </c>
      <c r="U10" s="3" t="s">
        <v>164</v>
      </c>
      <c r="V10" s="8" t="str">
        <f>TRIM(data[[#This Row],[المسئول عن التسليم]])</f>
        <v>محمود على</v>
      </c>
    </row>
    <row r="11" spans="1:22" ht="20.100000000000001" hidden="1" customHeight="1" x14ac:dyDescent="0.3">
      <c r="A11" s="6" t="s">
        <v>32</v>
      </c>
      <c r="B11" s="4" t="str">
        <f>IF(OR(data[[#This Row],[أسم العميل]]="اوسكار راتن",data[[#This Row],[أسم العميل]]="تاكى",data[[#This Row],[أسم العميل]]="شيك هومز"),"شركة","افراد")</f>
        <v>شركة</v>
      </c>
      <c r="C11" s="6" t="s">
        <v>35</v>
      </c>
      <c r="D11" s="6" t="s">
        <v>253</v>
      </c>
      <c r="E11" s="6" t="s">
        <v>32</v>
      </c>
      <c r="F11" s="6" t="s">
        <v>142</v>
      </c>
      <c r="G11" s="6" t="s">
        <v>137</v>
      </c>
      <c r="H11" s="4" t="s">
        <v>246</v>
      </c>
      <c r="I11" s="4" t="s">
        <v>246</v>
      </c>
      <c r="J11" s="4" t="s">
        <v>246</v>
      </c>
      <c r="K11" s="4" t="s">
        <v>246</v>
      </c>
      <c r="L11" s="6" t="s">
        <v>36</v>
      </c>
      <c r="M11" s="9">
        <v>6000</v>
      </c>
      <c r="N11" s="10">
        <v>12000</v>
      </c>
      <c r="O11" s="11">
        <v>45529</v>
      </c>
      <c r="P11" s="39" t="str">
        <f>TEXT(data[[#This Row],[ميعاد الطلب]], "mmmm")</f>
        <v>August</v>
      </c>
      <c r="Q11" s="8">
        <v>45550</v>
      </c>
      <c r="R11" s="11">
        <v>45552</v>
      </c>
      <c r="S11" s="8" t="str" cm="1">
        <f t="array" ref="S11">_xlfn.IFS(
OR(data[[#This Row],[تاريخ التسليم]]="-",data[[#This Row],[ميعاد التسليم]]="-"),"غير محدد",
data[[#This Row],[ميعاد التسليم]] &lt;= data[[#This Row],[تاريخ التسليم]],"في الموعد",
TRUE,"متأخر"
)</f>
        <v>في الموعد</v>
      </c>
      <c r="T11" s="3" t="s">
        <v>300</v>
      </c>
      <c r="U11" s="3" t="s">
        <v>164</v>
      </c>
      <c r="V11" s="8" t="str">
        <f>TRIM(data[[#This Row],[المسئول عن التسليم]])</f>
        <v>محمود على</v>
      </c>
    </row>
    <row r="12" spans="1:22" ht="20.100000000000001" hidden="1" customHeight="1" x14ac:dyDescent="0.3">
      <c r="A12" s="6" t="s">
        <v>32</v>
      </c>
      <c r="B12" s="4" t="str">
        <f>IF(OR(data[[#This Row],[أسم العميل]]="اوسكار راتن",data[[#This Row],[أسم العميل]]="تاكى",data[[#This Row],[أسم العميل]]="شيك هومز"),"شركة","افراد")</f>
        <v>شركة</v>
      </c>
      <c r="C12" s="6" t="s">
        <v>31</v>
      </c>
      <c r="D12" s="6" t="s">
        <v>253</v>
      </c>
      <c r="E12" s="6" t="s">
        <v>32</v>
      </c>
      <c r="F12" s="6" t="s">
        <v>139</v>
      </c>
      <c r="G12" s="6" t="s">
        <v>174</v>
      </c>
      <c r="H12" s="4" t="s">
        <v>246</v>
      </c>
      <c r="I12" s="4" t="s">
        <v>246</v>
      </c>
      <c r="J12" s="4" t="s">
        <v>246</v>
      </c>
      <c r="K12" s="4" t="s">
        <v>246</v>
      </c>
      <c r="L12" s="6" t="s">
        <v>52</v>
      </c>
      <c r="M12" s="9">
        <v>9300</v>
      </c>
      <c r="N12" s="10">
        <v>9300</v>
      </c>
      <c r="O12" s="11">
        <v>45539</v>
      </c>
      <c r="P12" s="39" t="str">
        <f>TEXT(data[[#This Row],[ميعاد الطلب]], "mmmm")</f>
        <v>September</v>
      </c>
      <c r="Q12" s="11">
        <v>45550</v>
      </c>
      <c r="R12" s="8">
        <v>45552</v>
      </c>
      <c r="S12" s="8" t="str" cm="1">
        <f t="array" ref="S12">_xlfn.IFS(
OR(data[[#This Row],[تاريخ التسليم]]="-",data[[#This Row],[ميعاد التسليم]]="-"),"غير محدد",
data[[#This Row],[ميعاد التسليم]] &lt;= data[[#This Row],[تاريخ التسليم]],"في الموعد",
TRUE,"متأخر"
)</f>
        <v>في الموعد</v>
      </c>
      <c r="T12" s="3" t="s">
        <v>300</v>
      </c>
      <c r="U12" s="3" t="s">
        <v>164</v>
      </c>
      <c r="V12" s="8" t="str">
        <f>TRIM(data[[#This Row],[المسئول عن التسليم]])</f>
        <v>محمود على</v>
      </c>
    </row>
    <row r="13" spans="1:22" ht="20.100000000000001" hidden="1" customHeight="1" x14ac:dyDescent="0.3">
      <c r="A13" s="6" t="s">
        <v>37</v>
      </c>
      <c r="B13" s="4" t="str">
        <f>IF(OR(data[[#This Row],[أسم العميل]]="اوسكار راتن",data[[#This Row],[أسم العميل]]="تاكى",data[[#This Row],[أسم العميل]]="شيك هومز"),"شركة","افراد")</f>
        <v>افراد</v>
      </c>
      <c r="C13" s="6" t="s">
        <v>38</v>
      </c>
      <c r="D13" s="6" t="s">
        <v>253</v>
      </c>
      <c r="E13" s="6" t="s">
        <v>5</v>
      </c>
      <c r="F13" s="6" t="s">
        <v>129</v>
      </c>
      <c r="G13" s="6" t="s">
        <v>141</v>
      </c>
      <c r="H13" s="4" t="s">
        <v>131</v>
      </c>
      <c r="I13" s="5">
        <v>80</v>
      </c>
      <c r="J13" s="4" t="s">
        <v>143</v>
      </c>
      <c r="K13" s="4" t="s">
        <v>246</v>
      </c>
      <c r="L13" s="6" t="s">
        <v>39</v>
      </c>
      <c r="M13" s="9">
        <v>10499</v>
      </c>
      <c r="N13" s="10">
        <v>8924</v>
      </c>
      <c r="O13" s="11">
        <v>45536</v>
      </c>
      <c r="P13" s="39" t="str">
        <f>TEXT(data[[#This Row],[ميعاد الطلب]], "mmmm")</f>
        <v>September</v>
      </c>
      <c r="Q13" s="11">
        <v>45551</v>
      </c>
      <c r="R13" s="8">
        <v>45543</v>
      </c>
      <c r="S13" s="8" t="str" cm="1">
        <f t="array" ref="S13">_xlfn.IFS(
OR(data[[#This Row],[تاريخ التسليم]]="-",data[[#This Row],[ميعاد التسليم]]="-"),"غير محدد",
data[[#This Row],[ميعاد التسليم]] &lt;= data[[#This Row],[تاريخ التسليم]],"في الموعد",
TRUE,"متأخر"
)</f>
        <v>متأخر</v>
      </c>
      <c r="T13" s="3" t="s">
        <v>301</v>
      </c>
      <c r="U13" s="3" t="s">
        <v>164</v>
      </c>
      <c r="V13" s="8" t="str">
        <f>TRIM(data[[#This Row],[المسئول عن التسليم]])</f>
        <v>شركه شحن</v>
      </c>
    </row>
    <row r="14" spans="1:22" ht="20.100000000000001" hidden="1" customHeight="1" x14ac:dyDescent="0.3">
      <c r="A14" s="6" t="s">
        <v>49</v>
      </c>
      <c r="B14" s="4" t="str">
        <f>IF(OR(data[[#This Row],[أسم العميل]]="اوسكار راتن",data[[#This Row],[أسم العميل]]="تاكى",data[[#This Row],[أسم العميل]]="شيك هومز"),"شركة","افراد")</f>
        <v>افراد</v>
      </c>
      <c r="C14" s="6" t="s">
        <v>50</v>
      </c>
      <c r="D14" s="6" t="s">
        <v>253</v>
      </c>
      <c r="E14" s="4" t="s">
        <v>5</v>
      </c>
      <c r="F14" s="4" t="s">
        <v>219</v>
      </c>
      <c r="G14" s="6" t="s">
        <v>158</v>
      </c>
      <c r="H14" s="6" t="s">
        <v>246</v>
      </c>
      <c r="I14" s="6" t="s">
        <v>246</v>
      </c>
      <c r="J14" s="6" t="s">
        <v>246</v>
      </c>
      <c r="K14" s="4" t="s">
        <v>246</v>
      </c>
      <c r="L14" s="6" t="s">
        <v>51</v>
      </c>
      <c r="M14" s="9">
        <v>7849</v>
      </c>
      <c r="N14" s="10" t="s">
        <v>12</v>
      </c>
      <c r="O14" s="11">
        <v>45539</v>
      </c>
      <c r="P14" s="39" t="str">
        <f>TEXT(data[[#This Row],[ميعاد الطلب]], "mmmm")</f>
        <v>September</v>
      </c>
      <c r="Q14" s="11">
        <v>45551</v>
      </c>
      <c r="R14" s="11">
        <v>45560</v>
      </c>
      <c r="S14" s="8" t="str" cm="1">
        <f t="array" ref="S14">_xlfn.IFS(
OR(data[[#This Row],[تاريخ التسليم]]="-",data[[#This Row],[ميعاد التسليم]]="-"),"غير محدد",
data[[#This Row],[ميعاد التسليم]] &lt;= data[[#This Row],[تاريخ التسليم]],"في الموعد",
TRUE,"متأخر"
)</f>
        <v>في الموعد</v>
      </c>
      <c r="T14" s="3" t="s">
        <v>301</v>
      </c>
      <c r="U14" s="3" t="s">
        <v>162</v>
      </c>
      <c r="V14" s="8" t="str">
        <f>TRIM(data[[#This Row],[المسئول عن التسليم]])</f>
        <v>شركه شحن</v>
      </c>
    </row>
    <row r="15" spans="1:22" ht="20.100000000000001" customHeight="1" x14ac:dyDescent="0.3">
      <c r="A15" s="6" t="s">
        <v>42</v>
      </c>
      <c r="B15" s="4" t="str">
        <f>IF(OR(data[[#This Row],[أسم العميل]]="اوسكار راتن",data[[#This Row],[أسم العميل]]="تاكى",data[[#This Row],[أسم العميل]]="شيك هومز"),"شركة","افراد")</f>
        <v>افراد</v>
      </c>
      <c r="C15" s="6" t="s">
        <v>43</v>
      </c>
      <c r="D15" s="6" t="s">
        <v>253</v>
      </c>
      <c r="E15" s="4" t="s">
        <v>44</v>
      </c>
      <c r="F15" s="4" t="s">
        <v>129</v>
      </c>
      <c r="G15" s="6" t="s">
        <v>141</v>
      </c>
      <c r="H15" s="6" t="s">
        <v>134</v>
      </c>
      <c r="I15" s="9">
        <v>120</v>
      </c>
      <c r="J15" s="4" t="s">
        <v>144</v>
      </c>
      <c r="K15" s="4" t="s">
        <v>246</v>
      </c>
      <c r="L15" s="12" t="s">
        <v>45</v>
      </c>
      <c r="M15" s="9">
        <v>6180</v>
      </c>
      <c r="N15" s="10">
        <v>9700</v>
      </c>
      <c r="O15" s="11">
        <v>45538</v>
      </c>
      <c r="P15" s="39" t="str">
        <f>TEXT(data[[#This Row],[ميعاد الطلب]], "mmmm")</f>
        <v>September</v>
      </c>
      <c r="Q15" s="11">
        <v>45551</v>
      </c>
      <c r="R15" s="11">
        <v>45550</v>
      </c>
      <c r="S15" s="8" t="str" cm="1">
        <f t="array" ref="S15">_xlfn.IFS(
OR(data[[#This Row],[تاريخ التسليم]]="-",data[[#This Row],[ميعاد التسليم]]="-"),"غير محدد",
data[[#This Row],[ميعاد التسليم]] &lt;= data[[#This Row],[تاريخ التسليم]],"في الموعد",
TRUE,"متأخر"
)</f>
        <v>متأخر</v>
      </c>
      <c r="T15" s="3" t="s">
        <v>300</v>
      </c>
      <c r="U15" s="3" t="s">
        <v>164</v>
      </c>
      <c r="V15" s="8" t="str">
        <f>TRIM(data[[#This Row],[المسئول عن التسليم]])</f>
        <v>محمود على</v>
      </c>
    </row>
    <row r="16" spans="1:22" ht="20.100000000000001" customHeight="1" x14ac:dyDescent="0.3">
      <c r="A16" s="6" t="s">
        <v>42</v>
      </c>
      <c r="B16" s="4" t="str">
        <f>IF(OR(data[[#This Row],[أسم العميل]]="اوسكار راتن",data[[#This Row],[أسم العميل]]="تاكى",data[[#This Row],[أسم العميل]]="شيك هومز"),"شركة","افراد")</f>
        <v>افراد</v>
      </c>
      <c r="C16" s="6" t="s">
        <v>43</v>
      </c>
      <c r="D16" s="6" t="s">
        <v>253</v>
      </c>
      <c r="E16" s="4" t="s">
        <v>44</v>
      </c>
      <c r="F16" s="6" t="s">
        <v>129</v>
      </c>
      <c r="G16" s="6" t="s">
        <v>141</v>
      </c>
      <c r="H16" s="4" t="s">
        <v>134</v>
      </c>
      <c r="I16" s="5">
        <v>120</v>
      </c>
      <c r="J16" s="4" t="s">
        <v>144</v>
      </c>
      <c r="K16" s="4" t="s">
        <v>246</v>
      </c>
      <c r="L16" s="12" t="s">
        <v>45</v>
      </c>
      <c r="M16" s="9">
        <v>6180</v>
      </c>
      <c r="N16" s="10">
        <v>9700</v>
      </c>
      <c r="O16" s="11">
        <v>45538</v>
      </c>
      <c r="P16" s="39" t="str">
        <f>TEXT(data[[#This Row],[ميعاد الطلب]], "mmmm")</f>
        <v>September</v>
      </c>
      <c r="Q16" s="11">
        <v>45551</v>
      </c>
      <c r="R16" s="11">
        <v>45550</v>
      </c>
      <c r="S16" s="8" t="str" cm="1">
        <f t="array" ref="S16">_xlfn.IFS(
OR(data[[#This Row],[تاريخ التسليم]]="-",data[[#This Row],[ميعاد التسليم]]="-"),"غير محدد",
data[[#This Row],[ميعاد التسليم]] &lt;= data[[#This Row],[تاريخ التسليم]],"في الموعد",
TRUE,"متأخر"
)</f>
        <v>متأخر</v>
      </c>
      <c r="T16" s="3" t="s">
        <v>300</v>
      </c>
      <c r="U16" s="3" t="s">
        <v>164</v>
      </c>
      <c r="V16" s="8" t="str">
        <f>TRIM(data[[#This Row],[المسئول عن التسليم]])</f>
        <v>محمود على</v>
      </c>
    </row>
    <row r="17" spans="1:22" ht="20.100000000000001" hidden="1" customHeight="1" x14ac:dyDescent="0.3">
      <c r="A17" s="4" t="s">
        <v>24</v>
      </c>
      <c r="B17" s="4" t="str">
        <f>IF(OR(data[[#This Row],[أسم العميل]]="اوسكار راتن",data[[#This Row],[أسم العميل]]="تاكى",data[[#This Row],[أسم العميل]]="شيك هومز"),"شركة","افراد")</f>
        <v>افراد</v>
      </c>
      <c r="C17" s="4" t="s">
        <v>55</v>
      </c>
      <c r="D17" s="6" t="s">
        <v>253</v>
      </c>
      <c r="E17" s="4" t="s">
        <v>5</v>
      </c>
      <c r="F17" s="4" t="s">
        <v>129</v>
      </c>
      <c r="G17" s="4" t="s">
        <v>132</v>
      </c>
      <c r="H17" s="6" t="s">
        <v>152</v>
      </c>
      <c r="I17" s="9">
        <v>80</v>
      </c>
      <c r="J17" s="6" t="s">
        <v>143</v>
      </c>
      <c r="K17" s="4" t="s">
        <v>246</v>
      </c>
      <c r="L17" s="6" t="s">
        <v>56</v>
      </c>
      <c r="M17" s="9">
        <v>7987</v>
      </c>
      <c r="N17" s="7" t="s">
        <v>12</v>
      </c>
      <c r="O17" s="8">
        <v>45541</v>
      </c>
      <c r="P17" s="39" t="str">
        <f>TEXT(data[[#This Row],[ميعاد الطلب]], "mmmm")</f>
        <v>September</v>
      </c>
      <c r="Q17" s="8">
        <v>45551</v>
      </c>
      <c r="R17" s="8">
        <v>45556</v>
      </c>
      <c r="S17" s="8" t="str" cm="1">
        <f t="array" ref="S17">_xlfn.IFS(
OR(data[[#This Row],[تاريخ التسليم]]="-",data[[#This Row],[ميعاد التسليم]]="-"),"غير محدد",
data[[#This Row],[ميعاد التسليم]] &lt;= data[[#This Row],[تاريخ التسليم]],"في الموعد",
TRUE,"متأخر"
)</f>
        <v>في الموعد</v>
      </c>
      <c r="T17" s="3" t="s">
        <v>300</v>
      </c>
      <c r="U17" s="3" t="s">
        <v>164</v>
      </c>
      <c r="V17" s="8" t="str">
        <f>TRIM(data[[#This Row],[المسئول عن التسليم]])</f>
        <v>محمود على</v>
      </c>
    </row>
    <row r="18" spans="1:22" ht="20.100000000000001" hidden="1" customHeight="1" x14ac:dyDescent="0.3">
      <c r="A18" s="6" t="s">
        <v>24</v>
      </c>
      <c r="B18" s="4" t="str">
        <f>IF(OR(data[[#This Row],[أسم العميل]]="اوسكار راتن",data[[#This Row],[أسم العميل]]="تاكى",data[[#This Row],[أسم العميل]]="شيك هومز"),"شركة","افراد")</f>
        <v>افراد</v>
      </c>
      <c r="C18" s="6" t="s">
        <v>55</v>
      </c>
      <c r="D18" s="6" t="s">
        <v>253</v>
      </c>
      <c r="E18" s="6" t="s">
        <v>5</v>
      </c>
      <c r="F18" s="4" t="s">
        <v>129</v>
      </c>
      <c r="G18" s="6" t="s">
        <v>132</v>
      </c>
      <c r="H18" s="6" t="s">
        <v>152</v>
      </c>
      <c r="I18" s="9">
        <v>80</v>
      </c>
      <c r="J18" s="6" t="s">
        <v>143</v>
      </c>
      <c r="K18" s="4" t="s">
        <v>246</v>
      </c>
      <c r="L18" s="6" t="s">
        <v>56</v>
      </c>
      <c r="M18" s="9">
        <v>7987</v>
      </c>
      <c r="N18" s="10" t="s">
        <v>12</v>
      </c>
      <c r="O18" s="11">
        <v>45541</v>
      </c>
      <c r="P18" s="39" t="str">
        <f>TEXT(data[[#This Row],[ميعاد الطلب]], "mmmm")</f>
        <v>September</v>
      </c>
      <c r="Q18" s="11">
        <v>45551</v>
      </c>
      <c r="R18" s="8">
        <v>45556</v>
      </c>
      <c r="S18" s="8" t="str" cm="1">
        <f t="array" ref="S18">_xlfn.IFS(
OR(data[[#This Row],[تاريخ التسليم]]="-",data[[#This Row],[ميعاد التسليم]]="-"),"غير محدد",
data[[#This Row],[ميعاد التسليم]] &lt;= data[[#This Row],[تاريخ التسليم]],"في الموعد",
TRUE,"متأخر"
)</f>
        <v>في الموعد</v>
      </c>
      <c r="T18" s="3" t="s">
        <v>300</v>
      </c>
      <c r="U18" s="3" t="s">
        <v>164</v>
      </c>
      <c r="V18" s="8" t="str">
        <f>TRIM(data[[#This Row],[المسئول عن التسليم]])</f>
        <v>محمود على</v>
      </c>
    </row>
    <row r="19" spans="1:22" ht="20.100000000000001" hidden="1" customHeight="1" x14ac:dyDescent="0.3">
      <c r="A19" s="6" t="s">
        <v>24</v>
      </c>
      <c r="B19" s="4" t="str">
        <f>IF(OR(data[[#This Row],[أسم العميل]]="اوسكار راتن",data[[#This Row],[أسم العميل]]="تاكى",data[[#This Row],[أسم العميل]]="شيك هومز"),"شركة","افراد")</f>
        <v>افراد</v>
      </c>
      <c r="C19" s="6" t="s">
        <v>55</v>
      </c>
      <c r="D19" s="6" t="s">
        <v>253</v>
      </c>
      <c r="E19" s="4" t="s">
        <v>5</v>
      </c>
      <c r="F19" s="4" t="s">
        <v>129</v>
      </c>
      <c r="G19" s="6" t="s">
        <v>132</v>
      </c>
      <c r="H19" s="6" t="s">
        <v>152</v>
      </c>
      <c r="I19" s="9">
        <v>80</v>
      </c>
      <c r="J19" s="6" t="s">
        <v>143</v>
      </c>
      <c r="K19" s="4" t="s">
        <v>246</v>
      </c>
      <c r="L19" s="6" t="s">
        <v>56</v>
      </c>
      <c r="M19" s="9">
        <v>7987</v>
      </c>
      <c r="N19" s="10" t="s">
        <v>12</v>
      </c>
      <c r="O19" s="11">
        <v>45541</v>
      </c>
      <c r="P19" s="39" t="str">
        <f>TEXT(data[[#This Row],[ميعاد الطلب]], "mmmm")</f>
        <v>September</v>
      </c>
      <c r="Q19" s="11">
        <v>45551</v>
      </c>
      <c r="R19" s="11">
        <v>45556</v>
      </c>
      <c r="S19" s="8" t="str" cm="1">
        <f t="array" ref="S19">_xlfn.IFS(
OR(data[[#This Row],[تاريخ التسليم]]="-",data[[#This Row],[ميعاد التسليم]]="-"),"غير محدد",
data[[#This Row],[ميعاد التسليم]] &lt;= data[[#This Row],[تاريخ التسليم]],"في الموعد",
TRUE,"متأخر"
)</f>
        <v>في الموعد</v>
      </c>
      <c r="T19" s="3" t="s">
        <v>300</v>
      </c>
      <c r="U19" s="3" t="s">
        <v>164</v>
      </c>
      <c r="V19" s="8" t="str">
        <f>TRIM(data[[#This Row],[المسئول عن التسليم]])</f>
        <v>محمود على</v>
      </c>
    </row>
    <row r="20" spans="1:22" ht="20.100000000000001" hidden="1" customHeight="1" x14ac:dyDescent="0.3">
      <c r="A20" s="6" t="s">
        <v>24</v>
      </c>
      <c r="B20" s="4" t="str">
        <f>IF(OR(data[[#This Row],[أسم العميل]]="اوسكار راتن",data[[#This Row],[أسم العميل]]="تاكى",data[[#This Row],[أسم العميل]]="شيك هومز"),"شركة","افراد")</f>
        <v>افراد</v>
      </c>
      <c r="C20" s="6" t="s">
        <v>55</v>
      </c>
      <c r="D20" s="6" t="s">
        <v>253</v>
      </c>
      <c r="E20" s="4" t="s">
        <v>5</v>
      </c>
      <c r="F20" s="4" t="s">
        <v>129</v>
      </c>
      <c r="G20" s="6" t="s">
        <v>132</v>
      </c>
      <c r="H20" s="6" t="s">
        <v>152</v>
      </c>
      <c r="I20" s="9">
        <v>80</v>
      </c>
      <c r="J20" s="6" t="s">
        <v>143</v>
      </c>
      <c r="K20" s="4" t="s">
        <v>246</v>
      </c>
      <c r="L20" s="12" t="s">
        <v>56</v>
      </c>
      <c r="M20" s="9">
        <v>7987</v>
      </c>
      <c r="N20" s="10" t="s">
        <v>12</v>
      </c>
      <c r="O20" s="11">
        <v>45541</v>
      </c>
      <c r="P20" s="39" t="str">
        <f>TEXT(data[[#This Row],[ميعاد الطلب]], "mmmm")</f>
        <v>September</v>
      </c>
      <c r="Q20" s="11">
        <v>45551</v>
      </c>
      <c r="R20" s="11">
        <v>45556</v>
      </c>
      <c r="S20" s="8" t="str" cm="1">
        <f t="array" ref="S20">_xlfn.IFS(
OR(data[[#This Row],[تاريخ التسليم]]="-",data[[#This Row],[ميعاد التسليم]]="-"),"غير محدد",
data[[#This Row],[ميعاد التسليم]] &lt;= data[[#This Row],[تاريخ التسليم]],"في الموعد",
TRUE,"متأخر"
)</f>
        <v>في الموعد</v>
      </c>
      <c r="T20" s="3" t="s">
        <v>300</v>
      </c>
      <c r="U20" s="3" t="s">
        <v>164</v>
      </c>
      <c r="V20" s="8" t="str">
        <f>TRIM(data[[#This Row],[المسئول عن التسليم]])</f>
        <v>محمود على</v>
      </c>
    </row>
    <row r="21" spans="1:22" ht="20.100000000000001" hidden="1" customHeight="1" x14ac:dyDescent="0.3">
      <c r="A21" s="6" t="s">
        <v>57</v>
      </c>
      <c r="B21" s="4" t="str">
        <f>IF(OR(data[[#This Row],[أسم العميل]]="اوسكار راتن",data[[#This Row],[أسم العميل]]="تاكى",data[[#This Row],[أسم العميل]]="شيك هومز"),"شركة","افراد")</f>
        <v>افراد</v>
      </c>
      <c r="C21" s="4" t="s">
        <v>256</v>
      </c>
      <c r="D21" s="6" t="s">
        <v>257</v>
      </c>
      <c r="E21" s="6" t="s">
        <v>5</v>
      </c>
      <c r="F21" s="4" t="s">
        <v>129</v>
      </c>
      <c r="G21" s="6" t="s">
        <v>132</v>
      </c>
      <c r="H21" s="4" t="s">
        <v>135</v>
      </c>
      <c r="I21" s="5">
        <v>120</v>
      </c>
      <c r="J21" s="4" t="s">
        <v>143</v>
      </c>
      <c r="K21" s="4" t="s">
        <v>246</v>
      </c>
      <c r="L21" s="6" t="s">
        <v>58</v>
      </c>
      <c r="M21" s="5">
        <v>10987</v>
      </c>
      <c r="N21" s="7" t="s">
        <v>12</v>
      </c>
      <c r="O21" s="8">
        <v>45544</v>
      </c>
      <c r="P21" s="39" t="str">
        <f>TEXT(data[[#This Row],[ميعاد الطلب]], "mmmm")</f>
        <v>September</v>
      </c>
      <c r="Q21" s="8">
        <v>45552</v>
      </c>
      <c r="R21" s="8">
        <v>45556</v>
      </c>
      <c r="S21" s="8" t="str" cm="1">
        <f t="array" ref="S21">_xlfn.IFS(
OR(data[[#This Row],[تاريخ التسليم]]="-",data[[#This Row],[ميعاد التسليم]]="-"),"غير محدد",
data[[#This Row],[ميعاد التسليم]] &lt;= data[[#This Row],[تاريخ التسليم]],"في الموعد",
TRUE,"متأخر"
)</f>
        <v>في الموعد</v>
      </c>
      <c r="T21" s="3" t="s">
        <v>300</v>
      </c>
      <c r="U21" s="3" t="s">
        <v>164</v>
      </c>
      <c r="V21" s="8" t="str">
        <f>TRIM(data[[#This Row],[المسئول عن التسليم]])</f>
        <v>محمود على</v>
      </c>
    </row>
    <row r="22" spans="1:22" ht="20.100000000000001" hidden="1" customHeight="1" x14ac:dyDescent="0.3">
      <c r="A22" s="6" t="s">
        <v>46</v>
      </c>
      <c r="B22" s="4" t="str">
        <f>IF(OR(data[[#This Row],[أسم العميل]]="اوسكار راتن",data[[#This Row],[أسم العميل]]="تاكى",data[[#This Row],[أسم العميل]]="شيك هومز"),"شركة","افراد")</f>
        <v>افراد</v>
      </c>
      <c r="C22" s="6" t="s">
        <v>47</v>
      </c>
      <c r="D22" s="6" t="s">
        <v>253</v>
      </c>
      <c r="E22" s="4" t="s">
        <v>5</v>
      </c>
      <c r="F22" s="4" t="s">
        <v>129</v>
      </c>
      <c r="G22" s="6" t="s">
        <v>141</v>
      </c>
      <c r="H22" s="6" t="s">
        <v>133</v>
      </c>
      <c r="I22" s="9">
        <v>80</v>
      </c>
      <c r="J22" s="6" t="s">
        <v>143</v>
      </c>
      <c r="K22" s="4" t="s">
        <v>246</v>
      </c>
      <c r="L22" s="12" t="s">
        <v>48</v>
      </c>
      <c r="M22" s="9">
        <v>11199</v>
      </c>
      <c r="N22" s="10">
        <v>11310</v>
      </c>
      <c r="O22" s="11">
        <v>45539</v>
      </c>
      <c r="P22" s="39" t="str">
        <f>TEXT(data[[#This Row],[ميعاد الطلب]], "mmmm")</f>
        <v>September</v>
      </c>
      <c r="Q22" s="11">
        <v>45553</v>
      </c>
      <c r="R22" s="6" t="s">
        <v>267</v>
      </c>
      <c r="S22" s="8" t="str" cm="1">
        <f t="array" ref="S22">_xlfn.IFS(
OR(data[[#This Row],[تاريخ التسليم]]="-",data[[#This Row],[ميعاد التسليم]]="-"),"غير محدد",
data[[#This Row],[ميعاد التسليم]] &lt;= data[[#This Row],[تاريخ التسليم]],"في الموعد",
TRUE,"متأخر"
)</f>
        <v>غير محدد</v>
      </c>
      <c r="T22" s="3" t="s">
        <v>162</v>
      </c>
      <c r="U22" s="3" t="s">
        <v>162</v>
      </c>
      <c r="V22" s="8" t="str">
        <f>TRIM(data[[#This Row],[المسئول عن التسليم]])</f>
        <v>فشل التسليم</v>
      </c>
    </row>
    <row r="23" spans="1:22" ht="20.100000000000001" hidden="1" customHeight="1" x14ac:dyDescent="0.3">
      <c r="A23" s="4" t="s">
        <v>293</v>
      </c>
      <c r="B23" s="4" t="str">
        <f>IF(OR(data[[#This Row],[أسم العميل]]="اوسكار راتن",data[[#This Row],[أسم العميل]]="تاكى",data[[#This Row],[أسم العميل]]="شيك هومز"),"شركة","افراد")</f>
        <v>شركة</v>
      </c>
      <c r="C23" s="6" t="s">
        <v>181</v>
      </c>
      <c r="D23" s="6" t="s">
        <v>253</v>
      </c>
      <c r="E23" s="4" t="s">
        <v>22</v>
      </c>
      <c r="F23" s="4" t="s">
        <v>129</v>
      </c>
      <c r="G23" s="6" t="s">
        <v>141</v>
      </c>
      <c r="H23" s="6" t="s">
        <v>133</v>
      </c>
      <c r="I23" s="9">
        <v>100</v>
      </c>
      <c r="J23" s="6" t="s">
        <v>143</v>
      </c>
      <c r="K23" s="4" t="s">
        <v>246</v>
      </c>
      <c r="L23" s="12" t="s">
        <v>40</v>
      </c>
      <c r="M23" s="9">
        <v>9208</v>
      </c>
      <c r="N23" s="10">
        <v>5781.75</v>
      </c>
      <c r="O23" s="11">
        <v>45536</v>
      </c>
      <c r="P23" s="39" t="str">
        <f>TEXT(data[[#This Row],[ميعاد الطلب]], "mmmm")</f>
        <v>September</v>
      </c>
      <c r="Q23" s="11">
        <v>45554</v>
      </c>
      <c r="R23" s="11">
        <v>45556</v>
      </c>
      <c r="S23" s="8" t="str" cm="1">
        <f t="array" ref="S23">_xlfn.IFS(
OR(data[[#This Row],[تاريخ التسليم]]="-",data[[#This Row],[ميعاد التسليم]]="-"),"غير محدد",
data[[#This Row],[ميعاد التسليم]] &lt;= data[[#This Row],[تاريخ التسليم]],"في الموعد",
TRUE,"متأخر"
)</f>
        <v>في الموعد</v>
      </c>
      <c r="T23" s="3" t="s">
        <v>300</v>
      </c>
      <c r="U23" s="3" t="s">
        <v>164</v>
      </c>
      <c r="V23" s="8" t="str">
        <f>TRIM(data[[#This Row],[المسئول عن التسليم]])</f>
        <v>محمود على</v>
      </c>
    </row>
    <row r="24" spans="1:22" ht="20.100000000000001" customHeight="1" x14ac:dyDescent="0.3">
      <c r="A24" s="4" t="s">
        <v>293</v>
      </c>
      <c r="B24" s="4" t="str">
        <f>IF(OR(data[[#This Row],[أسم العميل]]="اوسكار راتن",data[[#This Row],[أسم العميل]]="تاكى",data[[#This Row],[أسم العميل]]="شيك هومز"),"شركة","افراد")</f>
        <v>شركة</v>
      </c>
      <c r="C24" s="6" t="s">
        <v>181</v>
      </c>
      <c r="D24" s="6" t="s">
        <v>253</v>
      </c>
      <c r="E24" s="4" t="s">
        <v>22</v>
      </c>
      <c r="F24" s="4" t="s">
        <v>129</v>
      </c>
      <c r="G24" s="6" t="s">
        <v>141</v>
      </c>
      <c r="H24" s="6" t="s">
        <v>133</v>
      </c>
      <c r="I24" s="9">
        <v>100</v>
      </c>
      <c r="J24" s="4" t="s">
        <v>144</v>
      </c>
      <c r="K24" s="4" t="s">
        <v>246</v>
      </c>
      <c r="L24" s="12" t="s">
        <v>41</v>
      </c>
      <c r="M24" s="9">
        <v>9208</v>
      </c>
      <c r="N24" s="10">
        <v>1278.53</v>
      </c>
      <c r="O24" s="11">
        <v>45536</v>
      </c>
      <c r="P24" s="39" t="str">
        <f>TEXT(data[[#This Row],[ميعاد الطلب]], "mmmm")</f>
        <v>September</v>
      </c>
      <c r="Q24" s="11">
        <v>45554</v>
      </c>
      <c r="R24" s="11">
        <v>45556</v>
      </c>
      <c r="S24" s="8" t="str" cm="1">
        <f t="array" ref="S24">_xlfn.IFS(
OR(data[[#This Row],[تاريخ التسليم]]="-",data[[#This Row],[ميعاد التسليم]]="-"),"غير محدد",
data[[#This Row],[ميعاد التسليم]] &lt;= data[[#This Row],[تاريخ التسليم]],"في الموعد",
TRUE,"متأخر"
)</f>
        <v>في الموعد</v>
      </c>
      <c r="T24" s="3" t="s">
        <v>300</v>
      </c>
      <c r="U24" s="3" t="s">
        <v>164</v>
      </c>
      <c r="V24" s="8" t="str">
        <f>TRIM(data[[#This Row],[المسئول عن التسليم]])</f>
        <v>محمود على</v>
      </c>
    </row>
    <row r="25" spans="1:22" ht="20.100000000000001" hidden="1" customHeight="1" x14ac:dyDescent="0.3">
      <c r="A25" s="6" t="s">
        <v>68</v>
      </c>
      <c r="B25" s="4" t="str">
        <f>IF(OR(data[[#This Row],[أسم العميل]]="اوسكار راتن",data[[#This Row],[أسم العميل]]="تاكى",data[[#This Row],[أسم العميل]]="شيك هومز"),"شركة","افراد")</f>
        <v>شركة</v>
      </c>
      <c r="C25" s="6" t="s">
        <v>69</v>
      </c>
      <c r="D25" s="6" t="s">
        <v>254</v>
      </c>
      <c r="E25" s="4" t="s">
        <v>44</v>
      </c>
      <c r="F25" s="6" t="s">
        <v>129</v>
      </c>
      <c r="G25" s="6" t="s">
        <v>132</v>
      </c>
      <c r="H25" s="4" t="s">
        <v>152</v>
      </c>
      <c r="I25" s="5">
        <v>120</v>
      </c>
      <c r="J25" s="4" t="s">
        <v>143</v>
      </c>
      <c r="K25" s="4" t="s">
        <v>246</v>
      </c>
      <c r="L25" s="12" t="s">
        <v>72</v>
      </c>
      <c r="M25" s="9">
        <v>4020</v>
      </c>
      <c r="N25" s="10" t="s">
        <v>70</v>
      </c>
      <c r="O25" s="11">
        <v>45547</v>
      </c>
      <c r="P25" s="39" t="str">
        <f>TEXT(data[[#This Row],[ميعاد الطلب]], "mmmm")</f>
        <v>September</v>
      </c>
      <c r="Q25" s="11">
        <v>45556</v>
      </c>
      <c r="R25" s="11">
        <v>45557</v>
      </c>
      <c r="S25" s="8" t="str" cm="1">
        <f t="array" ref="S25">_xlfn.IFS(
OR(data[[#This Row],[تاريخ التسليم]]="-",data[[#This Row],[ميعاد التسليم]]="-"),"غير محدد",
data[[#This Row],[ميعاد التسليم]] &lt;= data[[#This Row],[تاريخ التسليم]],"في الموعد",
TRUE,"متأخر"
)</f>
        <v>في الموعد</v>
      </c>
      <c r="T25" s="3" t="s">
        <v>300</v>
      </c>
      <c r="U25" s="3" t="s">
        <v>164</v>
      </c>
      <c r="V25" s="8" t="str">
        <f>TRIM(data[[#This Row],[المسئول عن التسليم]])</f>
        <v>محمود على</v>
      </c>
    </row>
    <row r="26" spans="1:22" ht="20.100000000000001" hidden="1" customHeight="1" x14ac:dyDescent="0.3">
      <c r="A26" s="6" t="s">
        <v>68</v>
      </c>
      <c r="B26" s="4" t="str">
        <f>IF(OR(data[[#This Row],[أسم العميل]]="اوسكار راتن",data[[#This Row],[أسم العميل]]="تاكى",data[[#This Row],[أسم العميل]]="شيك هومز"),"شركة","افراد")</f>
        <v>شركة</v>
      </c>
      <c r="C26" s="6" t="s">
        <v>69</v>
      </c>
      <c r="D26" s="6" t="s">
        <v>254</v>
      </c>
      <c r="E26" s="4" t="s">
        <v>44</v>
      </c>
      <c r="F26" s="4" t="s">
        <v>129</v>
      </c>
      <c r="G26" s="6" t="s">
        <v>132</v>
      </c>
      <c r="H26" s="6" t="s">
        <v>152</v>
      </c>
      <c r="I26" s="9">
        <v>120</v>
      </c>
      <c r="J26" s="6" t="s">
        <v>143</v>
      </c>
      <c r="K26" s="4" t="s">
        <v>246</v>
      </c>
      <c r="L26" s="12" t="s">
        <v>72</v>
      </c>
      <c r="M26" s="9">
        <v>4020</v>
      </c>
      <c r="N26" s="10" t="s">
        <v>70</v>
      </c>
      <c r="O26" s="11">
        <v>45547</v>
      </c>
      <c r="P26" s="39" t="str">
        <f>TEXT(data[[#This Row],[ميعاد الطلب]], "mmmm")</f>
        <v>September</v>
      </c>
      <c r="Q26" s="11">
        <v>45556</v>
      </c>
      <c r="R26" s="11">
        <v>45557</v>
      </c>
      <c r="S26" s="8" t="str" cm="1">
        <f t="array" ref="S26">_xlfn.IFS(
OR(data[[#This Row],[تاريخ التسليم]]="-",data[[#This Row],[ميعاد التسليم]]="-"),"غير محدد",
data[[#This Row],[ميعاد التسليم]] &lt;= data[[#This Row],[تاريخ التسليم]],"في الموعد",
TRUE,"متأخر"
)</f>
        <v>في الموعد</v>
      </c>
      <c r="T26" s="3" t="s">
        <v>300</v>
      </c>
      <c r="U26" s="3" t="s">
        <v>164</v>
      </c>
      <c r="V26" s="8" t="str">
        <f>TRIM(data[[#This Row],[المسئول عن التسليم]])</f>
        <v>محمود على</v>
      </c>
    </row>
    <row r="27" spans="1:22" ht="20.100000000000001" customHeight="1" x14ac:dyDescent="0.3">
      <c r="A27" s="6" t="s">
        <v>68</v>
      </c>
      <c r="B27" s="4" t="str">
        <f>IF(OR(data[[#This Row],[أسم العميل]]="اوسكار راتن",data[[#This Row],[أسم العميل]]="تاكى",data[[#This Row],[أسم العميل]]="شيك هومز"),"شركة","افراد")</f>
        <v>شركة</v>
      </c>
      <c r="C27" s="6" t="s">
        <v>69</v>
      </c>
      <c r="D27" s="6" t="s">
        <v>254</v>
      </c>
      <c r="E27" s="6" t="s">
        <v>44</v>
      </c>
      <c r="F27" s="4" t="s">
        <v>129</v>
      </c>
      <c r="G27" s="6" t="s">
        <v>132</v>
      </c>
      <c r="H27" s="6" t="s">
        <v>145</v>
      </c>
      <c r="I27" s="9">
        <v>120</v>
      </c>
      <c r="J27" s="4" t="s">
        <v>144</v>
      </c>
      <c r="K27" s="4" t="s">
        <v>246</v>
      </c>
      <c r="L27" s="12" t="s">
        <v>71</v>
      </c>
      <c r="M27" s="9">
        <v>4020</v>
      </c>
      <c r="N27" s="10" t="s">
        <v>98</v>
      </c>
      <c r="O27" s="11">
        <v>45547</v>
      </c>
      <c r="P27" s="39" t="str">
        <f>TEXT(data[[#This Row],[ميعاد الطلب]], "mmmm")</f>
        <v>September</v>
      </c>
      <c r="Q27" s="11">
        <v>45556</v>
      </c>
      <c r="R27" s="11">
        <v>45557</v>
      </c>
      <c r="S27" s="8" t="str" cm="1">
        <f t="array" ref="S27">_xlfn.IFS(
OR(data[[#This Row],[تاريخ التسليم]]="-",data[[#This Row],[ميعاد التسليم]]="-"),"غير محدد",
data[[#This Row],[ميعاد التسليم]] &lt;= data[[#This Row],[تاريخ التسليم]],"في الموعد",
TRUE,"متأخر"
)</f>
        <v>في الموعد</v>
      </c>
      <c r="T27" s="3" t="s">
        <v>300</v>
      </c>
      <c r="U27" s="3" t="s">
        <v>164</v>
      </c>
      <c r="V27" s="8" t="str">
        <f>TRIM(data[[#This Row],[المسئول عن التسليم]])</f>
        <v>محمود على</v>
      </c>
    </row>
    <row r="28" spans="1:22" ht="20.100000000000001" customHeight="1" x14ac:dyDescent="0.3">
      <c r="A28" s="6" t="s">
        <v>68</v>
      </c>
      <c r="B28" s="4" t="str">
        <f>IF(OR(data[[#This Row],[أسم العميل]]="اوسكار راتن",data[[#This Row],[أسم العميل]]="تاكى",data[[#This Row],[أسم العميل]]="شيك هومز"),"شركة","افراد")</f>
        <v>شركة</v>
      </c>
      <c r="C28" s="6" t="s">
        <v>69</v>
      </c>
      <c r="D28" s="6" t="s">
        <v>254</v>
      </c>
      <c r="E28" s="6" t="s">
        <v>44</v>
      </c>
      <c r="F28" s="4" t="s">
        <v>129</v>
      </c>
      <c r="G28" s="6" t="s">
        <v>132</v>
      </c>
      <c r="H28" s="6" t="s">
        <v>145</v>
      </c>
      <c r="I28" s="9">
        <v>120</v>
      </c>
      <c r="J28" s="4" t="s">
        <v>144</v>
      </c>
      <c r="K28" s="4" t="s">
        <v>246</v>
      </c>
      <c r="L28" s="12" t="s">
        <v>71</v>
      </c>
      <c r="M28" s="9">
        <v>4020</v>
      </c>
      <c r="N28" s="10" t="s">
        <v>98</v>
      </c>
      <c r="O28" s="11">
        <v>45547</v>
      </c>
      <c r="P28" s="39" t="str">
        <f>TEXT(data[[#This Row],[ميعاد الطلب]], "mmmm")</f>
        <v>September</v>
      </c>
      <c r="Q28" s="11">
        <v>45556</v>
      </c>
      <c r="R28" s="11">
        <v>45557</v>
      </c>
      <c r="S28" s="8" t="str" cm="1">
        <f t="array" ref="S28">_xlfn.IFS(
OR(data[[#This Row],[تاريخ التسليم]]="-",data[[#This Row],[ميعاد التسليم]]="-"),"غير محدد",
data[[#This Row],[ميعاد التسليم]] &lt;= data[[#This Row],[تاريخ التسليم]],"في الموعد",
TRUE,"متأخر"
)</f>
        <v>في الموعد</v>
      </c>
      <c r="T28" s="3" t="s">
        <v>300</v>
      </c>
      <c r="U28" s="3" t="s">
        <v>164</v>
      </c>
      <c r="V28" s="8" t="str">
        <f>TRIM(data[[#This Row],[المسئول عن التسليم]])</f>
        <v>محمود على</v>
      </c>
    </row>
    <row r="29" spans="1:22" ht="20.100000000000001" customHeight="1" x14ac:dyDescent="0.3">
      <c r="A29" s="6" t="s">
        <v>124</v>
      </c>
      <c r="B29" s="4" t="str">
        <f>IF(OR(data[[#This Row],[أسم العميل]]="اوسكار راتن",data[[#This Row],[أسم العميل]]="تاكى",data[[#This Row],[أسم العميل]]="شيك هومز"),"شركة","افراد")</f>
        <v>افراد</v>
      </c>
      <c r="C29" s="6" t="s">
        <v>125</v>
      </c>
      <c r="D29" s="6" t="s">
        <v>171</v>
      </c>
      <c r="E29" s="6" t="s">
        <v>5</v>
      </c>
      <c r="F29" s="4" t="s">
        <v>129</v>
      </c>
      <c r="G29" s="6" t="s">
        <v>130</v>
      </c>
      <c r="H29" s="9" t="s">
        <v>246</v>
      </c>
      <c r="I29" s="9" t="s">
        <v>246</v>
      </c>
      <c r="J29" s="4" t="s">
        <v>144</v>
      </c>
      <c r="K29" s="4" t="s">
        <v>144</v>
      </c>
      <c r="L29" s="12" t="s">
        <v>126</v>
      </c>
      <c r="M29" s="9">
        <v>9399</v>
      </c>
      <c r="N29" s="10" t="s">
        <v>98</v>
      </c>
      <c r="O29" s="11">
        <v>45549</v>
      </c>
      <c r="P29" s="39" t="str">
        <f>TEXT(data[[#This Row],[ميعاد الطلب]], "mmmm")</f>
        <v>September</v>
      </c>
      <c r="Q29" s="11">
        <v>45557</v>
      </c>
      <c r="R29" s="6" t="s">
        <v>267</v>
      </c>
      <c r="S29" s="8" t="str" cm="1">
        <f t="array" ref="S29">_xlfn.IFS(
OR(data[[#This Row],[تاريخ التسليم]]="-",data[[#This Row],[ميعاد التسليم]]="-"),"غير محدد",
data[[#This Row],[ميعاد التسليم]] &lt;= data[[#This Row],[تاريخ التسليم]],"في الموعد",
TRUE,"متأخر"
)</f>
        <v>غير محدد</v>
      </c>
      <c r="T29" s="3" t="s">
        <v>162</v>
      </c>
      <c r="U29" s="3" t="s">
        <v>162</v>
      </c>
      <c r="V29" s="8" t="str">
        <f>TRIM(data[[#This Row],[المسئول عن التسليم]])</f>
        <v>فشل التسليم</v>
      </c>
    </row>
    <row r="30" spans="1:22" ht="20.100000000000001" hidden="1" customHeight="1" x14ac:dyDescent="0.3">
      <c r="A30" s="6" t="s">
        <v>127</v>
      </c>
      <c r="B30" s="4" t="str">
        <f>IF(OR(data[[#This Row],[أسم العميل]]="اوسكار راتن",data[[#This Row],[أسم العميل]]="تاكى",data[[#This Row],[أسم العميل]]="شيك هومز"),"شركة","افراد")</f>
        <v>افراد</v>
      </c>
      <c r="C30" s="6" t="s">
        <v>255</v>
      </c>
      <c r="D30" s="6" t="s">
        <v>261</v>
      </c>
      <c r="E30" s="6" t="s">
        <v>5</v>
      </c>
      <c r="F30" s="4" t="s">
        <v>219</v>
      </c>
      <c r="G30" s="6" t="s">
        <v>160</v>
      </c>
      <c r="H30" s="6" t="s">
        <v>246</v>
      </c>
      <c r="I30" s="6" t="s">
        <v>246</v>
      </c>
      <c r="J30" s="6" t="s">
        <v>246</v>
      </c>
      <c r="K30" s="4" t="s">
        <v>246</v>
      </c>
      <c r="L30" s="12" t="s">
        <v>128</v>
      </c>
      <c r="M30" s="9">
        <v>8349</v>
      </c>
      <c r="N30" s="10" t="s">
        <v>98</v>
      </c>
      <c r="O30" s="11">
        <v>45549</v>
      </c>
      <c r="P30" s="39" t="str">
        <f>TEXT(data[[#This Row],[ميعاد الطلب]], "mmmm")</f>
        <v>September</v>
      </c>
      <c r="Q30" s="11">
        <v>45557</v>
      </c>
      <c r="R30" s="11">
        <v>45559</v>
      </c>
      <c r="S30" s="8" t="str" cm="1">
        <f t="array" ref="S30">_xlfn.IFS(
OR(data[[#This Row],[تاريخ التسليم]]="-",data[[#This Row],[ميعاد التسليم]]="-"),"غير محدد",
data[[#This Row],[ميعاد التسليم]] &lt;= data[[#This Row],[تاريخ التسليم]],"في الموعد",
TRUE,"متأخر"
)</f>
        <v>في الموعد</v>
      </c>
      <c r="T30" s="3" t="s">
        <v>301</v>
      </c>
      <c r="U30" s="3" t="s">
        <v>164</v>
      </c>
      <c r="V30" s="8" t="str">
        <f>TRIM(data[[#This Row],[المسئول عن التسليم]])</f>
        <v>شركه شحن</v>
      </c>
    </row>
    <row r="31" spans="1:22" ht="20.100000000000001" customHeight="1" x14ac:dyDescent="0.3">
      <c r="A31" s="13" t="s">
        <v>89</v>
      </c>
      <c r="B31" s="4" t="str">
        <f>IF(OR(data[[#This Row],[أسم العميل]]="اوسكار راتن",data[[#This Row],[أسم العميل]]="تاكى",data[[#This Row],[أسم العميل]]="شيك هومز"),"شركة","افراد")</f>
        <v>افراد</v>
      </c>
      <c r="C31" s="13" t="s">
        <v>256</v>
      </c>
      <c r="D31" s="13" t="s">
        <v>257</v>
      </c>
      <c r="E31" s="6" t="s">
        <v>5</v>
      </c>
      <c r="F31" s="4" t="s">
        <v>129</v>
      </c>
      <c r="G31" s="13" t="s">
        <v>130</v>
      </c>
      <c r="H31" s="9" t="s">
        <v>246</v>
      </c>
      <c r="I31" s="9" t="s">
        <v>246</v>
      </c>
      <c r="J31" s="4" t="s">
        <v>144</v>
      </c>
      <c r="K31" s="4" t="s">
        <v>144</v>
      </c>
      <c r="L31" s="17" t="s">
        <v>90</v>
      </c>
      <c r="M31" s="14">
        <v>9399</v>
      </c>
      <c r="N31" s="15" t="s">
        <v>12</v>
      </c>
      <c r="O31" s="16">
        <v>45548</v>
      </c>
      <c r="P31" s="39" t="str">
        <f>TEXT(data[[#This Row],[ميعاد الطلب]], "mmmm")</f>
        <v>September</v>
      </c>
      <c r="Q31" s="16">
        <v>45559</v>
      </c>
      <c r="R31" s="16">
        <v>45565</v>
      </c>
      <c r="S31" s="8" t="str" cm="1">
        <f t="array" ref="S31">_xlfn.IFS(
OR(data[[#This Row],[تاريخ التسليم]]="-",data[[#This Row],[ميعاد التسليم]]="-"),"غير محدد",
data[[#This Row],[ميعاد التسليم]] &lt;= data[[#This Row],[تاريخ التسليم]],"في الموعد",
TRUE,"متأخر"
)</f>
        <v>في الموعد</v>
      </c>
      <c r="T31" s="3" t="s">
        <v>301</v>
      </c>
      <c r="U31" s="3" t="s">
        <v>164</v>
      </c>
      <c r="V31" s="8" t="str">
        <f>TRIM(data[[#This Row],[المسئول عن التسليم]])</f>
        <v>شركه شحن</v>
      </c>
    </row>
    <row r="32" spans="1:22" ht="20.100000000000001" hidden="1" customHeight="1" x14ac:dyDescent="0.3">
      <c r="A32" s="6" t="s">
        <v>59</v>
      </c>
      <c r="B32" s="4" t="str">
        <f>IF(OR(data[[#This Row],[أسم العميل]]="اوسكار راتن",data[[#This Row],[أسم العميل]]="تاكى",data[[#This Row],[أسم العميل]]="شيك هومز"),"شركة","افراد")</f>
        <v>افراد</v>
      </c>
      <c r="C32" s="6" t="s">
        <v>60</v>
      </c>
      <c r="D32" s="6" t="s">
        <v>253</v>
      </c>
      <c r="E32" s="6" t="s">
        <v>5</v>
      </c>
      <c r="F32" s="4" t="s">
        <v>219</v>
      </c>
      <c r="G32" s="6" t="s">
        <v>158</v>
      </c>
      <c r="H32" s="6" t="s">
        <v>246</v>
      </c>
      <c r="I32" s="6" t="s">
        <v>246</v>
      </c>
      <c r="J32" s="6" t="s">
        <v>246</v>
      </c>
      <c r="K32" s="4" t="s">
        <v>246</v>
      </c>
      <c r="L32" s="12" t="s">
        <v>51</v>
      </c>
      <c r="M32" s="9">
        <v>7849</v>
      </c>
      <c r="N32" s="10">
        <v>7928</v>
      </c>
      <c r="O32" s="11">
        <v>45547</v>
      </c>
      <c r="P32" s="39" t="str">
        <f>TEXT(data[[#This Row],[ميعاد الطلب]], "mmmm")</f>
        <v>September</v>
      </c>
      <c r="Q32" s="11">
        <v>45561</v>
      </c>
      <c r="R32" s="6" t="s">
        <v>267</v>
      </c>
      <c r="S32" s="8" t="str" cm="1">
        <f t="array" ref="S32">_xlfn.IFS(
OR(data[[#This Row],[تاريخ التسليم]]="-",data[[#This Row],[ميعاد التسليم]]="-"),"غير محدد",
data[[#This Row],[ميعاد التسليم]] &lt;= data[[#This Row],[تاريخ التسليم]],"في الموعد",
TRUE,"متأخر"
)</f>
        <v>غير محدد</v>
      </c>
      <c r="T32" s="3" t="s">
        <v>301</v>
      </c>
      <c r="U32" s="3" t="s">
        <v>164</v>
      </c>
      <c r="V32" s="8" t="str">
        <f>TRIM(data[[#This Row],[المسئول عن التسليم]])</f>
        <v>شركه شحن</v>
      </c>
    </row>
    <row r="33" spans="1:22" ht="20.100000000000001" customHeight="1" x14ac:dyDescent="0.3">
      <c r="A33" s="13" t="s">
        <v>66</v>
      </c>
      <c r="B33" s="4" t="str">
        <f>IF(OR(data[[#This Row],[أسم العميل]]="اوسكار راتن",data[[#This Row],[أسم العميل]]="تاكى",data[[#This Row],[أسم العميل]]="شيك هومز"),"شركة","افراد")</f>
        <v>افراد</v>
      </c>
      <c r="C33" s="13" t="s">
        <v>264</v>
      </c>
      <c r="D33" s="13" t="s">
        <v>257</v>
      </c>
      <c r="E33" s="37" t="s">
        <v>26</v>
      </c>
      <c r="F33" s="4" t="s">
        <v>129</v>
      </c>
      <c r="G33" s="13" t="s">
        <v>147</v>
      </c>
      <c r="H33" s="13" t="s">
        <v>134</v>
      </c>
      <c r="I33" s="14">
        <v>100</v>
      </c>
      <c r="J33" s="4" t="s">
        <v>144</v>
      </c>
      <c r="K33" s="6" t="s">
        <v>246</v>
      </c>
      <c r="L33" s="17" t="s">
        <v>67</v>
      </c>
      <c r="M33" s="14">
        <v>9450</v>
      </c>
      <c r="N33" s="15">
        <v>9450</v>
      </c>
      <c r="O33" s="16">
        <v>45547</v>
      </c>
      <c r="P33" s="39" t="str">
        <f>TEXT(data[[#This Row],[ميعاد الطلب]], "mmmm")</f>
        <v>September</v>
      </c>
      <c r="Q33" s="16">
        <v>45561</v>
      </c>
      <c r="R33" s="6" t="s">
        <v>267</v>
      </c>
      <c r="S33" s="8" t="str" cm="1">
        <f t="array" ref="S33">_xlfn.IFS(
OR(data[[#This Row],[تاريخ التسليم]]="-",data[[#This Row],[ميعاد التسليم]]="-"),"غير محدد",
data[[#This Row],[ميعاد التسليم]] &lt;= data[[#This Row],[تاريخ التسليم]],"في الموعد",
TRUE,"متأخر"
)</f>
        <v>غير محدد</v>
      </c>
      <c r="T33" s="3" t="s">
        <v>162</v>
      </c>
      <c r="U33" s="3" t="s">
        <v>162</v>
      </c>
      <c r="V33" s="8" t="str">
        <f>TRIM(data[[#This Row],[المسئول عن التسليم]])</f>
        <v>فشل التسليم</v>
      </c>
    </row>
    <row r="34" spans="1:22" ht="20.100000000000001" customHeight="1" x14ac:dyDescent="0.3">
      <c r="A34" s="13" t="s">
        <v>80</v>
      </c>
      <c r="B34" s="4" t="str">
        <f>IF(OR(data[[#This Row],[أسم العميل]]="اوسكار راتن",data[[#This Row],[أسم العميل]]="تاكى",data[[#This Row],[أسم العميل]]="شيك هومز"),"شركة","افراد")</f>
        <v>افراد</v>
      </c>
      <c r="C34" s="13" t="s">
        <v>55</v>
      </c>
      <c r="D34" s="13" t="s">
        <v>253</v>
      </c>
      <c r="E34" s="4" t="s">
        <v>5</v>
      </c>
      <c r="F34" s="6" t="s">
        <v>129</v>
      </c>
      <c r="G34" s="6" t="s">
        <v>132</v>
      </c>
      <c r="H34" s="4" t="s">
        <v>135</v>
      </c>
      <c r="I34" s="38">
        <v>120</v>
      </c>
      <c r="J34" s="4" t="s">
        <v>144</v>
      </c>
      <c r="K34" s="4" t="s">
        <v>246</v>
      </c>
      <c r="L34" s="17" t="s">
        <v>81</v>
      </c>
      <c r="M34" s="14">
        <v>7460</v>
      </c>
      <c r="N34" s="15" t="s">
        <v>12</v>
      </c>
      <c r="O34" s="16">
        <v>45548</v>
      </c>
      <c r="P34" s="39" t="str">
        <f>TEXT(data[[#This Row],[ميعاد الطلب]], "mmmm")</f>
        <v>September</v>
      </c>
      <c r="Q34" s="16">
        <v>45561</v>
      </c>
      <c r="R34" s="16">
        <v>45568</v>
      </c>
      <c r="S34" s="8" t="str" cm="1">
        <f t="array" ref="S34">_xlfn.IFS(
OR(data[[#This Row],[تاريخ التسليم]]="-",data[[#This Row],[ميعاد التسليم]]="-"),"غير محدد",
data[[#This Row],[ميعاد التسليم]] &lt;= data[[#This Row],[تاريخ التسليم]],"في الموعد",
TRUE,"متأخر"
)</f>
        <v>في الموعد</v>
      </c>
      <c r="T34" s="3" t="s">
        <v>300</v>
      </c>
      <c r="U34" s="3" t="s">
        <v>164</v>
      </c>
      <c r="V34" s="8" t="str">
        <f>TRIM(data[[#This Row],[المسئول عن التسليم]])</f>
        <v>محمود على</v>
      </c>
    </row>
    <row r="35" spans="1:22" ht="20.100000000000001" hidden="1" customHeight="1" x14ac:dyDescent="0.3">
      <c r="A35" s="13" t="s">
        <v>84</v>
      </c>
      <c r="B35" s="4" t="str">
        <f>IF(OR(data[[#This Row],[أسم العميل]]="اوسكار راتن",data[[#This Row],[أسم العميل]]="تاكى",data[[#This Row],[أسم العميل]]="شيك هومز"),"شركة","افراد")</f>
        <v>افراد</v>
      </c>
      <c r="C35" s="6" t="s">
        <v>55</v>
      </c>
      <c r="D35" s="13" t="s">
        <v>253</v>
      </c>
      <c r="E35" s="4" t="s">
        <v>5</v>
      </c>
      <c r="F35" s="4" t="s">
        <v>129</v>
      </c>
      <c r="G35" s="6" t="s">
        <v>132</v>
      </c>
      <c r="H35" s="13" t="s">
        <v>153</v>
      </c>
      <c r="I35" s="14">
        <v>140</v>
      </c>
      <c r="J35" s="13" t="s">
        <v>151</v>
      </c>
      <c r="K35" s="13" t="s">
        <v>148</v>
      </c>
      <c r="L35" s="17" t="s">
        <v>85</v>
      </c>
      <c r="M35" s="14">
        <v>9528</v>
      </c>
      <c r="N35" s="15" t="s">
        <v>12</v>
      </c>
      <c r="O35" s="16">
        <v>45548</v>
      </c>
      <c r="P35" s="39" t="str">
        <f>TEXT(data[[#This Row],[ميعاد الطلب]], "mmmm")</f>
        <v>September</v>
      </c>
      <c r="Q35" s="16">
        <v>45561</v>
      </c>
      <c r="R35" s="16">
        <v>45568</v>
      </c>
      <c r="S35" s="8" t="str" cm="1">
        <f t="array" ref="S35">_xlfn.IFS(
OR(data[[#This Row],[تاريخ التسليم]]="-",data[[#This Row],[ميعاد التسليم]]="-"),"غير محدد",
data[[#This Row],[ميعاد التسليم]] &lt;= data[[#This Row],[تاريخ التسليم]],"في الموعد",
TRUE,"متأخر"
)</f>
        <v>في الموعد</v>
      </c>
      <c r="T35" s="3" t="s">
        <v>300</v>
      </c>
      <c r="U35" s="3" t="s">
        <v>164</v>
      </c>
      <c r="V35" s="8" t="str">
        <f>TRIM(data[[#This Row],[المسئول عن التسليم]])</f>
        <v>محمود على</v>
      </c>
    </row>
    <row r="36" spans="1:22" ht="20.100000000000001" hidden="1" customHeight="1" x14ac:dyDescent="0.3">
      <c r="A36" s="6" t="s">
        <v>122</v>
      </c>
      <c r="B36" s="4" t="str">
        <f>IF(OR(data[[#This Row],[أسم العميل]]="اوسكار راتن",data[[#This Row],[أسم العميل]]="تاكى",data[[#This Row],[أسم العميل]]="شيك هومز"),"شركة","افراد")</f>
        <v>افراد</v>
      </c>
      <c r="C36" s="6" t="s">
        <v>256</v>
      </c>
      <c r="D36" s="6" t="s">
        <v>257</v>
      </c>
      <c r="E36" s="4" t="s">
        <v>5</v>
      </c>
      <c r="F36" s="6" t="s">
        <v>129</v>
      </c>
      <c r="G36" s="6" t="s">
        <v>141</v>
      </c>
      <c r="H36" s="4" t="s">
        <v>134</v>
      </c>
      <c r="I36" s="5">
        <v>120</v>
      </c>
      <c r="J36" s="4" t="s">
        <v>148</v>
      </c>
      <c r="K36" s="4" t="s">
        <v>246</v>
      </c>
      <c r="L36" s="12" t="s">
        <v>123</v>
      </c>
      <c r="M36" s="9">
        <v>12999</v>
      </c>
      <c r="N36" s="10" t="s">
        <v>12</v>
      </c>
      <c r="O36" s="11">
        <v>45549</v>
      </c>
      <c r="P36" s="39" t="str">
        <f>TEXT(data[[#This Row],[ميعاد الطلب]], "mmmm")</f>
        <v>September</v>
      </c>
      <c r="Q36" s="11">
        <v>45562</v>
      </c>
      <c r="R36" s="11">
        <v>45567</v>
      </c>
      <c r="S36" s="8" t="str" cm="1">
        <f t="array" ref="S36">_xlfn.IFS(
OR(data[[#This Row],[تاريخ التسليم]]="-",data[[#This Row],[ميعاد التسليم]]="-"),"غير محدد",
data[[#This Row],[ميعاد التسليم]] &lt;= data[[#This Row],[تاريخ التسليم]],"في الموعد",
TRUE,"متأخر"
)</f>
        <v>في الموعد</v>
      </c>
      <c r="T36" s="3" t="s">
        <v>300</v>
      </c>
      <c r="U36" s="3" t="s">
        <v>164</v>
      </c>
      <c r="V36" s="8" t="str">
        <f>TRIM(data[[#This Row],[المسئول عن التسليم]])</f>
        <v>محمود على</v>
      </c>
    </row>
    <row r="37" spans="1:22" ht="20.100000000000001" customHeight="1" x14ac:dyDescent="0.3">
      <c r="A37" s="6" t="s">
        <v>61</v>
      </c>
      <c r="B37" s="4" t="str">
        <f>IF(OR(data[[#This Row],[أسم العميل]]="اوسكار راتن",data[[#This Row],[أسم العميل]]="تاكى",data[[#This Row],[أسم العميل]]="شيك هومز"),"شركة","افراد")</f>
        <v>افراد</v>
      </c>
      <c r="C37" s="6" t="s">
        <v>262</v>
      </c>
      <c r="D37" s="6" t="s">
        <v>253</v>
      </c>
      <c r="E37" s="6" t="s">
        <v>5</v>
      </c>
      <c r="F37" s="4" t="s">
        <v>129</v>
      </c>
      <c r="G37" s="6" t="s">
        <v>141</v>
      </c>
      <c r="H37" s="6" t="s">
        <v>131</v>
      </c>
      <c r="I37" s="9">
        <v>90</v>
      </c>
      <c r="J37" s="4" t="s">
        <v>144</v>
      </c>
      <c r="K37" s="4" t="s">
        <v>246</v>
      </c>
      <c r="L37" s="12" t="s">
        <v>64</v>
      </c>
      <c r="M37" s="9">
        <v>5999</v>
      </c>
      <c r="N37" s="10" t="s">
        <v>12</v>
      </c>
      <c r="O37" s="11">
        <v>45547</v>
      </c>
      <c r="P37" s="39" t="str">
        <f>TEXT(data[[#This Row],[ميعاد الطلب]], "mmmm")</f>
        <v>September</v>
      </c>
      <c r="Q37" s="11">
        <v>45564</v>
      </c>
      <c r="R37" s="6" t="s">
        <v>267</v>
      </c>
      <c r="S37" s="8" t="str" cm="1">
        <f t="array" ref="S37">_xlfn.IFS(
OR(data[[#This Row],[تاريخ التسليم]]="-",data[[#This Row],[ميعاد التسليم]]="-"),"غير محدد",
data[[#This Row],[ميعاد التسليم]] &lt;= data[[#This Row],[تاريخ التسليم]],"في الموعد",
TRUE,"متأخر"
)</f>
        <v>غير محدد</v>
      </c>
      <c r="T37" s="3" t="s">
        <v>246</v>
      </c>
      <c r="U37" s="3" t="s">
        <v>246</v>
      </c>
      <c r="V37" s="8" t="str">
        <f>TRIM(data[[#This Row],[المسئول عن التسليم]])</f>
        <v>غير محدد</v>
      </c>
    </row>
    <row r="38" spans="1:22" ht="20.100000000000001" customHeight="1" x14ac:dyDescent="0.3">
      <c r="A38" s="6" t="s">
        <v>62</v>
      </c>
      <c r="B38" s="4" t="str">
        <f>IF(OR(data[[#This Row],[أسم العميل]]="اوسكار راتن",data[[#This Row],[أسم العميل]]="تاكى",data[[#This Row],[أسم العميل]]="شيك هومز"),"شركة","افراد")</f>
        <v>افراد</v>
      </c>
      <c r="C38" s="6" t="s">
        <v>63</v>
      </c>
      <c r="D38" s="13" t="s">
        <v>253</v>
      </c>
      <c r="E38" s="4" t="s">
        <v>5</v>
      </c>
      <c r="F38" s="4" t="s">
        <v>129</v>
      </c>
      <c r="G38" s="6" t="s">
        <v>141</v>
      </c>
      <c r="H38" s="6" t="s">
        <v>134</v>
      </c>
      <c r="I38" s="9">
        <v>100</v>
      </c>
      <c r="J38" s="4" t="s">
        <v>144</v>
      </c>
      <c r="K38" s="4" t="s">
        <v>246</v>
      </c>
      <c r="L38" s="12" t="s">
        <v>65</v>
      </c>
      <c r="M38" s="9">
        <v>11949</v>
      </c>
      <c r="N38" s="10">
        <v>10749</v>
      </c>
      <c r="O38" s="11">
        <v>45547</v>
      </c>
      <c r="P38" s="39" t="str">
        <f>TEXT(data[[#This Row],[ميعاد الطلب]], "mmmm")</f>
        <v>September</v>
      </c>
      <c r="Q38" s="11">
        <v>45564</v>
      </c>
      <c r="R38" s="11">
        <v>45567</v>
      </c>
      <c r="S38" s="8" t="str" cm="1">
        <f t="array" ref="S38">_xlfn.IFS(
OR(data[[#This Row],[تاريخ التسليم]]="-",data[[#This Row],[ميعاد التسليم]]="-"),"غير محدد",
data[[#This Row],[ميعاد التسليم]] &lt;= data[[#This Row],[تاريخ التسليم]],"في الموعد",
TRUE,"متأخر"
)</f>
        <v>في الموعد</v>
      </c>
      <c r="T38" s="3" t="s">
        <v>300</v>
      </c>
      <c r="U38" s="3" t="s">
        <v>164</v>
      </c>
      <c r="V38" s="8" t="str">
        <f>TRIM(data[[#This Row],[المسئول عن التسليم]])</f>
        <v>محمود على</v>
      </c>
    </row>
    <row r="39" spans="1:22" ht="20.100000000000001" customHeight="1" x14ac:dyDescent="0.3">
      <c r="A39" s="6" t="s">
        <v>62</v>
      </c>
      <c r="B39" s="4" t="str">
        <f>IF(OR(data[[#This Row],[أسم العميل]]="اوسكار راتن",data[[#This Row],[أسم العميل]]="تاكى",data[[#This Row],[أسم العميل]]="شيك هومز"),"شركة","افراد")</f>
        <v>افراد</v>
      </c>
      <c r="C39" s="6" t="s">
        <v>63</v>
      </c>
      <c r="D39" s="13" t="s">
        <v>253</v>
      </c>
      <c r="E39" s="4" t="s">
        <v>5</v>
      </c>
      <c r="F39" s="4" t="s">
        <v>129</v>
      </c>
      <c r="G39" s="6" t="s">
        <v>141</v>
      </c>
      <c r="H39" s="6" t="s">
        <v>134</v>
      </c>
      <c r="I39" s="9">
        <v>100</v>
      </c>
      <c r="J39" s="4" t="s">
        <v>144</v>
      </c>
      <c r="K39" s="6" t="s">
        <v>246</v>
      </c>
      <c r="L39" s="12" t="s">
        <v>65</v>
      </c>
      <c r="M39" s="9">
        <v>11949</v>
      </c>
      <c r="N39" s="10">
        <v>10749</v>
      </c>
      <c r="O39" s="11">
        <v>45547</v>
      </c>
      <c r="P39" s="39" t="str">
        <f>TEXT(data[[#This Row],[ميعاد الطلب]], "mmmm")</f>
        <v>September</v>
      </c>
      <c r="Q39" s="11">
        <v>45564</v>
      </c>
      <c r="R39" s="11">
        <v>45567</v>
      </c>
      <c r="S39" s="8" t="str" cm="1">
        <f t="array" ref="S39">_xlfn.IFS(
OR(data[[#This Row],[تاريخ التسليم]]="-",data[[#This Row],[ميعاد التسليم]]="-"),"غير محدد",
data[[#This Row],[ميعاد التسليم]] &lt;= data[[#This Row],[تاريخ التسليم]],"في الموعد",
TRUE,"متأخر"
)</f>
        <v>في الموعد</v>
      </c>
      <c r="T39" s="3" t="s">
        <v>300</v>
      </c>
      <c r="U39" s="3" t="s">
        <v>164</v>
      </c>
      <c r="V39" s="8" t="str">
        <f>TRIM(data[[#This Row],[المسئول عن التسليم]])</f>
        <v>محمود على</v>
      </c>
    </row>
    <row r="40" spans="1:22" ht="20.100000000000001" hidden="1" customHeight="1" x14ac:dyDescent="0.3">
      <c r="A40" s="13" t="s">
        <v>24</v>
      </c>
      <c r="B40" s="4" t="str">
        <f>IF(OR(data[[#This Row],[أسم العميل]]="اوسكار راتن",data[[#This Row],[أسم العميل]]="تاكى",data[[#This Row],[أسم العميل]]="شيك هومز"),"شركة","افراد")</f>
        <v>افراد</v>
      </c>
      <c r="C40" s="13" t="s">
        <v>73</v>
      </c>
      <c r="D40" s="13" t="s">
        <v>253</v>
      </c>
      <c r="E40" s="4" t="s">
        <v>5</v>
      </c>
      <c r="F40" s="4" t="s">
        <v>129</v>
      </c>
      <c r="G40" s="6" t="s">
        <v>147</v>
      </c>
      <c r="H40" s="6" t="s">
        <v>134</v>
      </c>
      <c r="I40" s="14">
        <v>80</v>
      </c>
      <c r="J40" s="13" t="s">
        <v>143</v>
      </c>
      <c r="K40" s="4" t="s">
        <v>246</v>
      </c>
      <c r="L40" s="17" t="s">
        <v>76</v>
      </c>
      <c r="M40" s="14">
        <v>16599</v>
      </c>
      <c r="N40" s="15" t="s">
        <v>12</v>
      </c>
      <c r="O40" s="16">
        <v>45548</v>
      </c>
      <c r="P40" s="39" t="str">
        <f>TEXT(data[[#This Row],[ميعاد الطلب]], "mmmm")</f>
        <v>September</v>
      </c>
      <c r="Q40" s="16">
        <v>45565</v>
      </c>
      <c r="R40" s="16">
        <v>45568</v>
      </c>
      <c r="S40" s="8" t="str" cm="1">
        <f t="array" ref="S40">_xlfn.IFS(
OR(data[[#This Row],[تاريخ التسليم]]="-",data[[#This Row],[ميعاد التسليم]]="-"),"غير محدد",
data[[#This Row],[ميعاد التسليم]] &lt;= data[[#This Row],[تاريخ التسليم]],"في الموعد",
TRUE,"متأخر"
)</f>
        <v>في الموعد</v>
      </c>
      <c r="T40" s="3" t="s">
        <v>300</v>
      </c>
      <c r="U40" s="3" t="s">
        <v>164</v>
      </c>
      <c r="V40" s="8" t="str">
        <f>TRIM(data[[#This Row],[المسئول عن التسليم]])</f>
        <v>محمود على</v>
      </c>
    </row>
    <row r="41" spans="1:22" ht="20.100000000000001" hidden="1" customHeight="1" x14ac:dyDescent="0.3">
      <c r="A41" s="13" t="s">
        <v>74</v>
      </c>
      <c r="B41" s="4" t="str">
        <f>IF(OR(data[[#This Row],[أسم العميل]]="اوسكار راتن",data[[#This Row],[أسم العميل]]="تاكى",data[[#This Row],[أسم العميل]]="شيك هومز"),"شركة","افراد")</f>
        <v>افراد</v>
      </c>
      <c r="C41" s="13" t="s">
        <v>18</v>
      </c>
      <c r="D41" s="13" t="s">
        <v>263</v>
      </c>
      <c r="E41" s="4" t="s">
        <v>5</v>
      </c>
      <c r="F41" s="4" t="s">
        <v>129</v>
      </c>
      <c r="G41" s="6" t="s">
        <v>141</v>
      </c>
      <c r="H41" s="6" t="s">
        <v>134</v>
      </c>
      <c r="I41" s="9">
        <v>80</v>
      </c>
      <c r="J41" s="6" t="s">
        <v>143</v>
      </c>
      <c r="K41" s="4" t="s">
        <v>246</v>
      </c>
      <c r="L41" s="17" t="s">
        <v>75</v>
      </c>
      <c r="M41" s="14">
        <v>10999</v>
      </c>
      <c r="N41" s="15" t="s">
        <v>12</v>
      </c>
      <c r="O41" s="16">
        <v>45548</v>
      </c>
      <c r="P41" s="39" t="str">
        <f>TEXT(data[[#This Row],[ميعاد الطلب]], "mmmm")</f>
        <v>September</v>
      </c>
      <c r="Q41" s="16">
        <v>45565</v>
      </c>
      <c r="R41" s="16">
        <v>45581</v>
      </c>
      <c r="S41" s="8" t="str" cm="1">
        <f t="array" ref="S41">_xlfn.IFS(
OR(data[[#This Row],[تاريخ التسليم]]="-",data[[#This Row],[ميعاد التسليم]]="-"),"غير محدد",
data[[#This Row],[ميعاد التسليم]] &lt;= data[[#This Row],[تاريخ التسليم]],"في الموعد",
TRUE,"متأخر"
)</f>
        <v>في الموعد</v>
      </c>
      <c r="T41" s="3" t="s">
        <v>301</v>
      </c>
      <c r="U41" s="3" t="s">
        <v>164</v>
      </c>
      <c r="V41" s="8" t="str">
        <f>TRIM(data[[#This Row],[المسئول عن التسليم]])</f>
        <v>شركه شحن</v>
      </c>
    </row>
    <row r="42" spans="1:22" ht="20.100000000000001" hidden="1" customHeight="1" x14ac:dyDescent="0.3">
      <c r="A42" s="13" t="s">
        <v>77</v>
      </c>
      <c r="B42" s="4" t="str">
        <f>IF(OR(data[[#This Row],[أسم العميل]]="اوسكار راتن",data[[#This Row],[أسم العميل]]="تاكى",data[[#This Row],[أسم العميل]]="شيك هومز"),"شركة","افراد")</f>
        <v>افراد</v>
      </c>
      <c r="C42" s="13" t="s">
        <v>78</v>
      </c>
      <c r="D42" s="13" t="s">
        <v>171</v>
      </c>
      <c r="E42" s="4" t="s">
        <v>5</v>
      </c>
      <c r="F42" s="4" t="s">
        <v>129</v>
      </c>
      <c r="G42" s="6" t="s">
        <v>141</v>
      </c>
      <c r="H42" s="6" t="s">
        <v>134</v>
      </c>
      <c r="I42" s="14">
        <v>140</v>
      </c>
      <c r="J42" s="13" t="s">
        <v>146</v>
      </c>
      <c r="K42" s="4" t="s">
        <v>246</v>
      </c>
      <c r="L42" s="17" t="s">
        <v>79</v>
      </c>
      <c r="M42" s="14">
        <v>13099</v>
      </c>
      <c r="N42" s="15" t="s">
        <v>12</v>
      </c>
      <c r="O42" s="16">
        <v>45548</v>
      </c>
      <c r="P42" s="39" t="str">
        <f>TEXT(data[[#This Row],[ميعاد الطلب]], "mmmm")</f>
        <v>September</v>
      </c>
      <c r="Q42" s="16">
        <v>45565</v>
      </c>
      <c r="R42" s="16">
        <v>45568</v>
      </c>
      <c r="S42" s="8" t="str" cm="1">
        <f t="array" ref="S42">_xlfn.IFS(
OR(data[[#This Row],[تاريخ التسليم]]="-",data[[#This Row],[ميعاد التسليم]]="-"),"غير محدد",
data[[#This Row],[ميعاد التسليم]] &lt;= data[[#This Row],[تاريخ التسليم]],"في الموعد",
TRUE,"متأخر"
)</f>
        <v>في الموعد</v>
      </c>
      <c r="T42" s="3" t="s">
        <v>301</v>
      </c>
      <c r="U42" s="3" t="s">
        <v>164</v>
      </c>
      <c r="V42" s="8" t="str">
        <f>TRIM(data[[#This Row],[المسئول عن التسليم]])</f>
        <v>شركه شحن</v>
      </c>
    </row>
    <row r="43" spans="1:22" ht="20.100000000000001" hidden="1" customHeight="1" x14ac:dyDescent="0.3">
      <c r="A43" s="13" t="s">
        <v>82</v>
      </c>
      <c r="B43" s="4" t="str">
        <f>IF(OR(data[[#This Row],[أسم العميل]]="اوسكار راتن",data[[#This Row],[أسم العميل]]="تاكى",data[[#This Row],[أسم العميل]]="شيك هومز"),"شركة","افراد")</f>
        <v>افراد</v>
      </c>
      <c r="C43" s="6" t="s">
        <v>256</v>
      </c>
      <c r="D43" s="6" t="s">
        <v>257</v>
      </c>
      <c r="E43" s="4" t="s">
        <v>5</v>
      </c>
      <c r="F43" s="4" t="s">
        <v>129</v>
      </c>
      <c r="G43" s="6" t="s">
        <v>141</v>
      </c>
      <c r="H43" s="6" t="s">
        <v>133</v>
      </c>
      <c r="I43" s="9">
        <v>120</v>
      </c>
      <c r="J43" s="6" t="s">
        <v>149</v>
      </c>
      <c r="K43" s="4" t="s">
        <v>246</v>
      </c>
      <c r="L43" s="17" t="s">
        <v>83</v>
      </c>
      <c r="M43" s="14">
        <v>13849</v>
      </c>
      <c r="N43" s="15" t="s">
        <v>12</v>
      </c>
      <c r="O43" s="16">
        <v>45548</v>
      </c>
      <c r="P43" s="39" t="str">
        <f>TEXT(data[[#This Row],[ميعاد الطلب]], "mmmm")</f>
        <v>September</v>
      </c>
      <c r="Q43" s="16">
        <v>45565</v>
      </c>
      <c r="R43" s="11">
        <v>45585</v>
      </c>
      <c r="S43" s="8" t="str" cm="1">
        <f t="array" ref="S43">_xlfn.IFS(
OR(data[[#This Row],[تاريخ التسليم]]="-",data[[#This Row],[ميعاد التسليم]]="-"),"غير محدد",
data[[#This Row],[ميعاد التسليم]] &lt;= data[[#This Row],[تاريخ التسليم]],"في الموعد",
TRUE,"متأخر"
)</f>
        <v>في الموعد</v>
      </c>
      <c r="T43" s="3" t="s">
        <v>300</v>
      </c>
      <c r="U43" s="3" t="s">
        <v>164</v>
      </c>
      <c r="V43" s="8" t="str">
        <f>TRIM(data[[#This Row],[المسئول عن التسليم]])</f>
        <v>محمود على</v>
      </c>
    </row>
    <row r="44" spans="1:22" ht="20.100000000000001" customHeight="1" x14ac:dyDescent="0.3">
      <c r="A44" s="13" t="s">
        <v>86</v>
      </c>
      <c r="B44" s="4" t="str">
        <f>IF(OR(data[[#This Row],[أسم العميل]]="اوسكار راتن",data[[#This Row],[أسم العميل]]="تاكى",data[[#This Row],[أسم العميل]]="شيك هومز"),"شركة","افراد")</f>
        <v>افراد</v>
      </c>
      <c r="C44" s="13" t="s">
        <v>87</v>
      </c>
      <c r="D44" s="13" t="s">
        <v>253</v>
      </c>
      <c r="E44" s="4" t="s">
        <v>5</v>
      </c>
      <c r="F44" s="4" t="s">
        <v>142</v>
      </c>
      <c r="G44" s="13" t="s">
        <v>140</v>
      </c>
      <c r="H44" s="9" t="s">
        <v>246</v>
      </c>
      <c r="I44" s="9" t="s">
        <v>246</v>
      </c>
      <c r="J44" s="4" t="s">
        <v>144</v>
      </c>
      <c r="K44" s="37" t="s">
        <v>148</v>
      </c>
      <c r="L44" s="17" t="s">
        <v>88</v>
      </c>
      <c r="M44" s="14">
        <v>21999</v>
      </c>
      <c r="N44" s="15" t="s">
        <v>12</v>
      </c>
      <c r="O44" s="16">
        <v>45548</v>
      </c>
      <c r="P44" s="39" t="str">
        <f>TEXT(data[[#This Row],[ميعاد الطلب]], "mmmm")</f>
        <v>September</v>
      </c>
      <c r="Q44" s="16">
        <v>45565</v>
      </c>
      <c r="R44" s="6" t="s">
        <v>267</v>
      </c>
      <c r="S44" s="8" t="str" cm="1">
        <f t="array" ref="S44">_xlfn.IFS(
OR(data[[#This Row],[تاريخ التسليم]]="-",data[[#This Row],[ميعاد التسليم]]="-"),"غير محدد",
data[[#This Row],[ميعاد التسليم]] &lt;= data[[#This Row],[تاريخ التسليم]],"في الموعد",
TRUE,"متأخر"
)</f>
        <v>غير محدد</v>
      </c>
      <c r="T44" s="3" t="s">
        <v>300</v>
      </c>
      <c r="U44" s="3" t="s">
        <v>164</v>
      </c>
      <c r="V44" s="8" t="str">
        <f>TRIM(data[[#This Row],[المسئول عن التسليم]])</f>
        <v>محمود على</v>
      </c>
    </row>
    <row r="45" spans="1:22" ht="20.100000000000001" hidden="1" customHeight="1" x14ac:dyDescent="0.3">
      <c r="A45" s="13" t="s">
        <v>92</v>
      </c>
      <c r="B45" s="4" t="str">
        <f>IF(OR(data[[#This Row],[أسم العميل]]="اوسكار راتن",data[[#This Row],[أسم العميل]]="تاكى",data[[#This Row],[أسم العميل]]="شيك هومز"),"شركة","افراد")</f>
        <v>افراد</v>
      </c>
      <c r="C45" s="6" t="s">
        <v>256</v>
      </c>
      <c r="D45" s="6" t="s">
        <v>257</v>
      </c>
      <c r="E45" s="4" t="s">
        <v>5</v>
      </c>
      <c r="F45" s="4" t="s">
        <v>129</v>
      </c>
      <c r="G45" s="6" t="s">
        <v>141</v>
      </c>
      <c r="H45" s="6" t="s">
        <v>134</v>
      </c>
      <c r="I45" s="9">
        <v>80</v>
      </c>
      <c r="J45" s="6" t="s">
        <v>143</v>
      </c>
      <c r="K45" s="4" t="s">
        <v>246</v>
      </c>
      <c r="L45" s="17" t="s">
        <v>75</v>
      </c>
      <c r="M45" s="14">
        <v>10999</v>
      </c>
      <c r="N45" s="15" t="s">
        <v>12</v>
      </c>
      <c r="O45" s="16">
        <v>45548</v>
      </c>
      <c r="P45" s="39" t="str">
        <f>TEXT(data[[#This Row],[ميعاد الطلب]], "mmmm")</f>
        <v>September</v>
      </c>
      <c r="Q45" s="16">
        <v>45565</v>
      </c>
      <c r="R45" s="16">
        <v>45580</v>
      </c>
      <c r="S45" s="8" t="str" cm="1">
        <f t="array" ref="S45">_xlfn.IFS(
OR(data[[#This Row],[تاريخ التسليم]]="-",data[[#This Row],[ميعاد التسليم]]="-"),"غير محدد",
data[[#This Row],[ميعاد التسليم]] &lt;= data[[#This Row],[تاريخ التسليم]],"في الموعد",
TRUE,"متأخر"
)</f>
        <v>في الموعد</v>
      </c>
      <c r="T45" s="3" t="s">
        <v>300</v>
      </c>
      <c r="U45" s="3" t="s">
        <v>164</v>
      </c>
      <c r="V45" s="8" t="str">
        <f>TRIM(data[[#This Row],[المسئول عن التسليم]])</f>
        <v>محمود على</v>
      </c>
    </row>
    <row r="46" spans="1:22" ht="20.100000000000001" customHeight="1" x14ac:dyDescent="0.3">
      <c r="A46" s="13" t="s">
        <v>93</v>
      </c>
      <c r="B46" s="4" t="str">
        <f>IF(OR(data[[#This Row],[أسم العميل]]="اوسكار راتن",data[[#This Row],[أسم العميل]]="تاكى",data[[#This Row],[أسم العميل]]="شيك هومز"),"شركة","افراد")</f>
        <v>افراد</v>
      </c>
      <c r="C46" s="6" t="s">
        <v>240</v>
      </c>
      <c r="D46" s="13" t="s">
        <v>253</v>
      </c>
      <c r="E46" s="4" t="s">
        <v>5</v>
      </c>
      <c r="F46" s="4" t="s">
        <v>129</v>
      </c>
      <c r="G46" s="6" t="s">
        <v>147</v>
      </c>
      <c r="H46" s="6" t="s">
        <v>134</v>
      </c>
      <c r="I46" s="14">
        <v>90</v>
      </c>
      <c r="J46" s="4" t="s">
        <v>144</v>
      </c>
      <c r="K46" s="4" t="s">
        <v>246</v>
      </c>
      <c r="L46" s="17" t="s">
        <v>94</v>
      </c>
      <c r="M46" s="14">
        <v>17249</v>
      </c>
      <c r="N46" s="15" t="s">
        <v>12</v>
      </c>
      <c r="O46" s="16">
        <v>45548</v>
      </c>
      <c r="P46" s="39" t="str">
        <f>TEXT(data[[#This Row],[ميعاد الطلب]], "mmmm")</f>
        <v>September</v>
      </c>
      <c r="Q46" s="16">
        <v>45565</v>
      </c>
      <c r="R46" s="16">
        <v>45569</v>
      </c>
      <c r="S46" s="8" t="str" cm="1">
        <f t="array" ref="S46">_xlfn.IFS(
OR(data[[#This Row],[تاريخ التسليم]]="-",data[[#This Row],[ميعاد التسليم]]="-"),"غير محدد",
data[[#This Row],[ميعاد التسليم]] &lt;= data[[#This Row],[تاريخ التسليم]],"في الموعد",
TRUE,"متأخر"
)</f>
        <v>في الموعد</v>
      </c>
      <c r="T46" s="3" t="s">
        <v>300</v>
      </c>
      <c r="U46" s="3" t="s">
        <v>164</v>
      </c>
      <c r="V46" s="8" t="str">
        <f>TRIM(data[[#This Row],[المسئول عن التسليم]])</f>
        <v>محمود على</v>
      </c>
    </row>
    <row r="47" spans="1:22" ht="20.100000000000001" hidden="1" customHeight="1" x14ac:dyDescent="0.3">
      <c r="A47" s="6" t="s">
        <v>68</v>
      </c>
      <c r="B47" s="4" t="str">
        <f>IF(OR(data[[#This Row],[أسم العميل]]="اوسكار راتن",data[[#This Row],[أسم العميل]]="تاكى",data[[#This Row],[أسم العميل]]="شيك هومز"),"شركة","افراد")</f>
        <v>شركة</v>
      </c>
      <c r="C47" s="6" t="s">
        <v>165</v>
      </c>
      <c r="D47" s="6" t="s">
        <v>254</v>
      </c>
      <c r="E47" s="4" t="s">
        <v>44</v>
      </c>
      <c r="F47" s="4" t="s">
        <v>129</v>
      </c>
      <c r="G47" s="6" t="s">
        <v>141</v>
      </c>
      <c r="H47" s="6" t="s">
        <v>134</v>
      </c>
      <c r="I47" s="9">
        <v>80</v>
      </c>
      <c r="J47" s="6" t="s">
        <v>143</v>
      </c>
      <c r="K47" s="4" t="s">
        <v>246</v>
      </c>
      <c r="L47" s="12"/>
      <c r="M47" s="9">
        <v>5074</v>
      </c>
      <c r="N47" s="10" t="s">
        <v>70</v>
      </c>
      <c r="O47" s="11">
        <v>45556</v>
      </c>
      <c r="P47" s="39" t="str">
        <f>TEXT(data[[#This Row],[ميعاد الطلب]], "mmmm")</f>
        <v>September</v>
      </c>
      <c r="Q47" s="11">
        <v>45570</v>
      </c>
      <c r="R47" s="11">
        <v>45577</v>
      </c>
      <c r="S47" s="8" t="str" cm="1">
        <f t="array" ref="S47">_xlfn.IFS(
OR(data[[#This Row],[تاريخ التسليم]]="-",data[[#This Row],[ميعاد التسليم]]="-"),"غير محدد",
data[[#This Row],[ميعاد التسليم]] &lt;= data[[#This Row],[تاريخ التسليم]],"في الموعد",
TRUE,"متأخر"
)</f>
        <v>في الموعد</v>
      </c>
      <c r="T47" s="3" t="s">
        <v>300</v>
      </c>
      <c r="U47" s="3" t="s">
        <v>164</v>
      </c>
      <c r="V47" s="8" t="str">
        <f>TRIM(data[[#This Row],[المسئول عن التسليم]])</f>
        <v>محمود على</v>
      </c>
    </row>
    <row r="48" spans="1:22" ht="20.100000000000001" hidden="1" customHeight="1" x14ac:dyDescent="0.3">
      <c r="A48" s="6" t="s">
        <v>32</v>
      </c>
      <c r="B48" s="4" t="str">
        <f>IF(OR(data[[#This Row],[أسم العميل]]="اوسكار راتن",data[[#This Row],[أسم العميل]]="تاكى",data[[#This Row],[أسم العميل]]="شيك هومز"),"شركة","افراد")</f>
        <v>شركة</v>
      </c>
      <c r="C48" s="6" t="s">
        <v>31</v>
      </c>
      <c r="D48" s="6" t="s">
        <v>253</v>
      </c>
      <c r="E48" s="4" t="s">
        <v>32</v>
      </c>
      <c r="F48" s="6" t="s">
        <v>129</v>
      </c>
      <c r="G48" s="6" t="s">
        <v>141</v>
      </c>
      <c r="H48" s="6" t="s">
        <v>133</v>
      </c>
      <c r="I48" s="9">
        <v>100</v>
      </c>
      <c r="J48" s="6" t="s">
        <v>166</v>
      </c>
      <c r="K48" s="6" t="s">
        <v>246</v>
      </c>
      <c r="L48" s="12"/>
      <c r="M48" s="9">
        <v>6250</v>
      </c>
      <c r="N48" s="10" t="s">
        <v>70</v>
      </c>
      <c r="O48" s="11">
        <v>45558</v>
      </c>
      <c r="P48" s="39" t="str">
        <f>TEXT(data[[#This Row],[ميعاد الطلب]], "mmmm")</f>
        <v>September</v>
      </c>
      <c r="Q48" s="11">
        <v>45573</v>
      </c>
      <c r="R48" s="11">
        <v>45582</v>
      </c>
      <c r="S48" s="8" t="str" cm="1">
        <f t="array" ref="S48">_xlfn.IFS(
OR(data[[#This Row],[تاريخ التسليم]]="-",data[[#This Row],[ميعاد التسليم]]="-"),"غير محدد",
data[[#This Row],[ميعاد التسليم]] &lt;= data[[#This Row],[تاريخ التسليم]],"في الموعد",
TRUE,"متأخر"
)</f>
        <v>في الموعد</v>
      </c>
      <c r="T48" s="3" t="s">
        <v>300</v>
      </c>
      <c r="U48" s="3" t="s">
        <v>164</v>
      </c>
      <c r="V48" s="8" t="str">
        <f>TRIM(data[[#This Row],[المسئول عن التسليم]])</f>
        <v>محمود على</v>
      </c>
    </row>
    <row r="49" spans="1:22" ht="20.100000000000001" hidden="1" customHeight="1" x14ac:dyDescent="0.3">
      <c r="A49" s="6" t="s">
        <v>169</v>
      </c>
      <c r="B49" s="4" t="str">
        <f>IF(OR(data[[#This Row],[أسم العميل]]="اوسكار راتن",data[[#This Row],[أسم العميل]]="تاكى",data[[#This Row],[أسم العميل]]="شيك هومز"),"شركة","افراد")</f>
        <v>افراد</v>
      </c>
      <c r="C49" s="6" t="s">
        <v>170</v>
      </c>
      <c r="D49" s="6" t="s">
        <v>170</v>
      </c>
      <c r="E49" s="4" t="s">
        <v>171</v>
      </c>
      <c r="F49" s="4" t="s">
        <v>129</v>
      </c>
      <c r="G49" s="6" t="s">
        <v>141</v>
      </c>
      <c r="H49" s="6" t="s">
        <v>172</v>
      </c>
      <c r="I49" s="9">
        <v>100</v>
      </c>
      <c r="J49" s="6" t="s">
        <v>173</v>
      </c>
      <c r="K49" s="4" t="s">
        <v>246</v>
      </c>
      <c r="L49" s="12"/>
      <c r="M49" s="9">
        <v>8544.9054400000005</v>
      </c>
      <c r="N49" s="10"/>
      <c r="O49" s="11">
        <v>45566</v>
      </c>
      <c r="P49" s="39" t="str">
        <f>TEXT(data[[#This Row],[ميعاد الطلب]], "mmmm")</f>
        <v>October</v>
      </c>
      <c r="Q49" s="11">
        <v>45574</v>
      </c>
      <c r="R49" s="11">
        <v>45574</v>
      </c>
      <c r="S49" s="8" t="str" cm="1">
        <f t="array" ref="S49">_xlfn.IFS(
OR(data[[#This Row],[تاريخ التسليم]]="-",data[[#This Row],[ميعاد التسليم]]="-"),"غير محدد",
data[[#This Row],[ميعاد التسليم]] &lt;= data[[#This Row],[تاريخ التسليم]],"في الموعد",
TRUE,"متأخر"
)</f>
        <v>في الموعد</v>
      </c>
      <c r="T49" s="3" t="s">
        <v>302</v>
      </c>
      <c r="U49" s="3" t="s">
        <v>164</v>
      </c>
      <c r="V49" s="8" t="str">
        <f>TRIM(data[[#This Row],[المسئول عن التسليم]])</f>
        <v>الحج سيد</v>
      </c>
    </row>
    <row r="50" spans="1:22" ht="20.100000000000001" customHeight="1" x14ac:dyDescent="0.3">
      <c r="A50" s="6" t="s">
        <v>169</v>
      </c>
      <c r="B50" s="4" t="str">
        <f>IF(OR(data[[#This Row],[أسم العميل]]="اوسكار راتن",data[[#This Row],[أسم العميل]]="تاكى",data[[#This Row],[أسم العميل]]="شيك هومز"),"شركة","افراد")</f>
        <v>افراد</v>
      </c>
      <c r="C50" s="6" t="s">
        <v>170</v>
      </c>
      <c r="D50" s="6" t="s">
        <v>170</v>
      </c>
      <c r="E50" s="4" t="s">
        <v>171</v>
      </c>
      <c r="F50" s="4" t="s">
        <v>129</v>
      </c>
      <c r="G50" s="6" t="s">
        <v>130</v>
      </c>
      <c r="H50" s="9" t="s">
        <v>246</v>
      </c>
      <c r="I50" s="9" t="s">
        <v>246</v>
      </c>
      <c r="J50" s="4" t="s">
        <v>144</v>
      </c>
      <c r="K50" s="4" t="s">
        <v>176</v>
      </c>
      <c r="L50" s="12"/>
      <c r="M50" s="9">
        <v>4600</v>
      </c>
      <c r="N50" s="10"/>
      <c r="O50" s="11">
        <v>45566</v>
      </c>
      <c r="P50" s="39" t="str">
        <f>TEXT(data[[#This Row],[ميعاد الطلب]], "mmmm")</f>
        <v>October</v>
      </c>
      <c r="Q50" s="11">
        <v>45574</v>
      </c>
      <c r="R50" s="11">
        <v>45574</v>
      </c>
      <c r="S50" s="8" t="str" cm="1">
        <f t="array" ref="S50">_xlfn.IFS(
OR(data[[#This Row],[تاريخ التسليم]]="-",data[[#This Row],[ميعاد التسليم]]="-"),"غير محدد",
data[[#This Row],[ميعاد التسليم]] &lt;= data[[#This Row],[تاريخ التسليم]],"في الموعد",
TRUE,"متأخر"
)</f>
        <v>في الموعد</v>
      </c>
      <c r="T50" s="3" t="s">
        <v>302</v>
      </c>
      <c r="U50" s="3" t="s">
        <v>164</v>
      </c>
      <c r="V50" s="8" t="str">
        <f>TRIM(data[[#This Row],[المسئول عن التسليم]])</f>
        <v>الحج سيد</v>
      </c>
    </row>
    <row r="51" spans="1:22" ht="20.100000000000001" customHeight="1" x14ac:dyDescent="0.3">
      <c r="A51" s="6" t="s">
        <v>169</v>
      </c>
      <c r="B51" s="4" t="str">
        <f>IF(OR(data[[#This Row],[أسم العميل]]="اوسكار راتن",data[[#This Row],[أسم العميل]]="تاكى",data[[#This Row],[أسم العميل]]="شيك هومز"),"شركة","افراد")</f>
        <v>افراد</v>
      </c>
      <c r="C51" s="6" t="s">
        <v>170</v>
      </c>
      <c r="D51" s="6" t="s">
        <v>170</v>
      </c>
      <c r="E51" s="4" t="s">
        <v>171</v>
      </c>
      <c r="F51" s="6" t="s">
        <v>142</v>
      </c>
      <c r="G51" s="6" t="s">
        <v>174</v>
      </c>
      <c r="H51" s="5" t="s">
        <v>246</v>
      </c>
      <c r="I51" s="5" t="s">
        <v>246</v>
      </c>
      <c r="J51" s="4" t="s">
        <v>144</v>
      </c>
      <c r="K51" s="4" t="s">
        <v>175</v>
      </c>
      <c r="L51" s="12"/>
      <c r="M51" s="9">
        <v>10000</v>
      </c>
      <c r="N51" s="10"/>
      <c r="O51" s="11">
        <v>45566</v>
      </c>
      <c r="P51" s="39" t="str">
        <f>TEXT(data[[#This Row],[ميعاد الطلب]], "mmmm")</f>
        <v>October</v>
      </c>
      <c r="Q51" s="11">
        <v>45574</v>
      </c>
      <c r="R51" s="11">
        <v>45574</v>
      </c>
      <c r="S51" s="8" t="str" cm="1">
        <f t="array" ref="S51">_xlfn.IFS(
OR(data[[#This Row],[تاريخ التسليم]]="-",data[[#This Row],[ميعاد التسليم]]="-"),"غير محدد",
data[[#This Row],[ميعاد التسليم]] &lt;= data[[#This Row],[تاريخ التسليم]],"في الموعد",
TRUE,"متأخر"
)</f>
        <v>في الموعد</v>
      </c>
      <c r="T51" s="3" t="s">
        <v>302</v>
      </c>
      <c r="U51" s="3" t="s">
        <v>164</v>
      </c>
      <c r="V51" s="8" t="str">
        <f>TRIM(data[[#This Row],[المسئول عن التسليم]])</f>
        <v>الحج سيد</v>
      </c>
    </row>
    <row r="52" spans="1:22" ht="20.100000000000001" customHeight="1" x14ac:dyDescent="0.3">
      <c r="A52" s="6" t="s">
        <v>169</v>
      </c>
      <c r="B52" s="4" t="str">
        <f>IF(OR(data[[#This Row],[أسم العميل]]="اوسكار راتن",data[[#This Row],[أسم العميل]]="تاكى",data[[#This Row],[أسم العميل]]="شيك هومز"),"شركة","افراد")</f>
        <v>افراد</v>
      </c>
      <c r="C52" s="6" t="s">
        <v>170</v>
      </c>
      <c r="D52" s="6" t="s">
        <v>170</v>
      </c>
      <c r="E52" s="4" t="s">
        <v>171</v>
      </c>
      <c r="F52" s="6" t="s">
        <v>177</v>
      </c>
      <c r="G52" s="9" t="s">
        <v>246</v>
      </c>
      <c r="H52" s="5" t="s">
        <v>246</v>
      </c>
      <c r="I52" s="5" t="s">
        <v>246</v>
      </c>
      <c r="J52" s="4" t="s">
        <v>144</v>
      </c>
      <c r="K52" s="4" t="s">
        <v>178</v>
      </c>
      <c r="L52" s="12" t="s">
        <v>177</v>
      </c>
      <c r="M52" s="9">
        <v>10045</v>
      </c>
      <c r="N52" s="10"/>
      <c r="O52" s="11">
        <v>45566</v>
      </c>
      <c r="P52" s="39" t="str">
        <f>TEXT(data[[#This Row],[ميعاد الطلب]], "mmmm")</f>
        <v>October</v>
      </c>
      <c r="Q52" s="11">
        <v>45574</v>
      </c>
      <c r="R52" s="11">
        <v>45574</v>
      </c>
      <c r="S52" s="8" t="str" cm="1">
        <f t="array" ref="S52">_xlfn.IFS(
OR(data[[#This Row],[تاريخ التسليم]]="-",data[[#This Row],[ميعاد التسليم]]="-"),"غير محدد",
data[[#This Row],[ميعاد التسليم]] &lt;= data[[#This Row],[تاريخ التسليم]],"في الموعد",
TRUE,"متأخر"
)</f>
        <v>في الموعد</v>
      </c>
      <c r="T52" s="3" t="s">
        <v>302</v>
      </c>
      <c r="U52" s="3" t="s">
        <v>164</v>
      </c>
      <c r="V52" s="8" t="str">
        <f>TRIM(data[[#This Row],[المسئول عن التسليم]])</f>
        <v>الحج سيد</v>
      </c>
    </row>
    <row r="53" spans="1:22" ht="20.100000000000001" hidden="1" customHeight="1" x14ac:dyDescent="0.3">
      <c r="A53" s="6" t="s">
        <v>68</v>
      </c>
      <c r="B53" s="4" t="str">
        <f>IF(OR(data[[#This Row],[أسم العميل]]="اوسكار راتن",data[[#This Row],[أسم العميل]]="تاكى",data[[#This Row],[أسم العميل]]="شيك هومز"),"شركة","افراد")</f>
        <v>شركة</v>
      </c>
      <c r="C53" s="6" t="s">
        <v>165</v>
      </c>
      <c r="D53" s="6" t="s">
        <v>254</v>
      </c>
      <c r="E53" s="4" t="s">
        <v>44</v>
      </c>
      <c r="F53" s="4" t="s">
        <v>129</v>
      </c>
      <c r="G53" s="6" t="s">
        <v>132</v>
      </c>
      <c r="H53" s="6" t="s">
        <v>152</v>
      </c>
      <c r="I53" s="9">
        <v>120</v>
      </c>
      <c r="J53" s="6" t="s">
        <v>143</v>
      </c>
      <c r="K53" s="6" t="s">
        <v>246</v>
      </c>
      <c r="L53" s="12"/>
      <c r="M53" s="9">
        <v>4020</v>
      </c>
      <c r="N53" s="10" t="s">
        <v>70</v>
      </c>
      <c r="O53" s="11">
        <v>45564</v>
      </c>
      <c r="P53" s="39" t="str">
        <f>TEXT(data[[#This Row],[ميعاد الطلب]], "mmmm")</f>
        <v>September</v>
      </c>
      <c r="Q53" s="11">
        <v>45577</v>
      </c>
      <c r="R53" s="11">
        <v>45577</v>
      </c>
      <c r="S53" s="8" t="str" cm="1">
        <f t="array" ref="S53">_xlfn.IFS(
OR(data[[#This Row],[تاريخ التسليم]]="-",data[[#This Row],[ميعاد التسليم]]="-"),"غير محدد",
data[[#This Row],[ميعاد التسليم]] &lt;= data[[#This Row],[تاريخ التسليم]],"في الموعد",
TRUE,"متأخر"
)</f>
        <v>في الموعد</v>
      </c>
      <c r="T53" s="3" t="s">
        <v>300</v>
      </c>
      <c r="U53" s="3" t="s">
        <v>164</v>
      </c>
      <c r="V53" s="8" t="str">
        <f>TRIM(data[[#This Row],[المسئول عن التسليم]])</f>
        <v>محمود على</v>
      </c>
    </row>
    <row r="54" spans="1:22" ht="20.100000000000001" hidden="1" customHeight="1" x14ac:dyDescent="0.3">
      <c r="A54" s="4" t="s">
        <v>293</v>
      </c>
      <c r="B54" s="4" t="str">
        <f>IF(OR(data[[#This Row],[أسم العميل]]="اوسكار راتن",data[[#This Row],[أسم العميل]]="تاكى",data[[#This Row],[أسم العميل]]="شيك هومز"),"شركة","افراد")</f>
        <v>شركة</v>
      </c>
      <c r="C54" s="6" t="s">
        <v>43</v>
      </c>
      <c r="D54" s="6" t="s">
        <v>253</v>
      </c>
      <c r="E54" s="4" t="s">
        <v>22</v>
      </c>
      <c r="F54" s="4" t="s">
        <v>142</v>
      </c>
      <c r="G54" s="6" t="s">
        <v>140</v>
      </c>
      <c r="H54" s="6" t="s">
        <v>246</v>
      </c>
      <c r="I54" s="6" t="s">
        <v>246</v>
      </c>
      <c r="J54" s="6" t="s">
        <v>246</v>
      </c>
      <c r="K54" s="4" t="s">
        <v>178</v>
      </c>
      <c r="L54" s="12"/>
      <c r="M54" s="9">
        <v>14950</v>
      </c>
      <c r="N54" s="10" t="s">
        <v>12</v>
      </c>
      <c r="O54" s="11">
        <v>45561</v>
      </c>
      <c r="P54" s="39" t="str">
        <f>TEXT(data[[#This Row],[ميعاد الطلب]], "mmmm")</f>
        <v>September</v>
      </c>
      <c r="Q54" s="11">
        <v>45579</v>
      </c>
      <c r="R54" s="11">
        <v>45578</v>
      </c>
      <c r="S54" s="8" t="str" cm="1">
        <f t="array" ref="S54">_xlfn.IFS(
OR(data[[#This Row],[تاريخ التسليم]]="-",data[[#This Row],[ميعاد التسليم]]="-"),"غير محدد",
data[[#This Row],[ميعاد التسليم]] &lt;= data[[#This Row],[تاريخ التسليم]],"في الموعد",
TRUE,"متأخر"
)</f>
        <v>متأخر</v>
      </c>
      <c r="T54" s="3" t="s">
        <v>300</v>
      </c>
      <c r="U54" s="3" t="s">
        <v>164</v>
      </c>
      <c r="V54" s="8" t="str">
        <f>TRIM(data[[#This Row],[المسئول عن التسليم]])</f>
        <v>محمود على</v>
      </c>
    </row>
    <row r="55" spans="1:22" ht="20.100000000000001" customHeight="1" x14ac:dyDescent="0.3">
      <c r="A55" s="4" t="s">
        <v>293</v>
      </c>
      <c r="B55" s="4" t="str">
        <f>IF(OR(data[[#This Row],[أسم العميل]]="اوسكار راتن",data[[#This Row],[أسم العميل]]="تاكى",data[[#This Row],[أسم العميل]]="شيك هومز"),"شركة","افراد")</f>
        <v>شركة</v>
      </c>
      <c r="C55" s="6" t="s">
        <v>181</v>
      </c>
      <c r="D55" s="6" t="s">
        <v>253</v>
      </c>
      <c r="E55" s="4" t="s">
        <v>22</v>
      </c>
      <c r="F55" s="6" t="s">
        <v>129</v>
      </c>
      <c r="G55" s="6" t="s">
        <v>141</v>
      </c>
      <c r="H55" s="4" t="s">
        <v>133</v>
      </c>
      <c r="I55" s="5">
        <v>100</v>
      </c>
      <c r="J55" s="4" t="s">
        <v>144</v>
      </c>
      <c r="K55" s="4" t="s">
        <v>246</v>
      </c>
      <c r="L55" s="12"/>
      <c r="M55" s="9">
        <v>9208</v>
      </c>
      <c r="N55" s="10">
        <v>9608</v>
      </c>
      <c r="O55" s="11">
        <v>45561</v>
      </c>
      <c r="P55" s="39" t="str">
        <f>TEXT(data[[#This Row],[ميعاد الطلب]], "mmmm")</f>
        <v>September</v>
      </c>
      <c r="Q55" s="11">
        <v>45579</v>
      </c>
      <c r="R55" s="6" t="s">
        <v>267</v>
      </c>
      <c r="S55" s="8" t="str" cm="1">
        <f t="array" ref="S55">_xlfn.IFS(
OR(data[[#This Row],[تاريخ التسليم]]="-",data[[#This Row],[ميعاد التسليم]]="-"),"غير محدد",
data[[#This Row],[ميعاد التسليم]] &lt;= data[[#This Row],[تاريخ التسليم]],"في الموعد",
TRUE,"متأخر"
)</f>
        <v>غير محدد</v>
      </c>
      <c r="T55" s="3" t="s">
        <v>162</v>
      </c>
      <c r="U55" s="3" t="s">
        <v>162</v>
      </c>
      <c r="V55" s="8" t="str">
        <f>TRIM(data[[#This Row],[المسئول عن التسليم]])</f>
        <v>فشل التسليم</v>
      </c>
    </row>
    <row r="56" spans="1:22" ht="20.100000000000001" hidden="1" customHeight="1" x14ac:dyDescent="0.3">
      <c r="A56" s="13" t="s">
        <v>91</v>
      </c>
      <c r="B56" s="4" t="str">
        <f>IF(OR(data[[#This Row],[أسم العميل]]="اوسكار راتن",data[[#This Row],[أسم العميل]]="تاكى",data[[#This Row],[أسم العميل]]="شيك هومز"),"شركة","افراد")</f>
        <v>افراد</v>
      </c>
      <c r="C56" s="6" t="s">
        <v>240</v>
      </c>
      <c r="D56" s="6" t="s">
        <v>253</v>
      </c>
      <c r="E56" s="4" t="s">
        <v>5</v>
      </c>
      <c r="F56" s="4" t="s">
        <v>219</v>
      </c>
      <c r="G56" s="6" t="s">
        <v>158</v>
      </c>
      <c r="H56" s="6" t="s">
        <v>246</v>
      </c>
      <c r="I56" s="6" t="s">
        <v>246</v>
      </c>
      <c r="J56" s="6" t="s">
        <v>246</v>
      </c>
      <c r="K56" s="4" t="s">
        <v>246</v>
      </c>
      <c r="L56" s="12" t="s">
        <v>51</v>
      </c>
      <c r="M56" s="14">
        <v>8849</v>
      </c>
      <c r="N56" s="15" t="s">
        <v>12</v>
      </c>
      <c r="O56" s="16">
        <v>45538</v>
      </c>
      <c r="P56" s="39" t="str">
        <f>TEXT(data[[#This Row],[ميعاد الطلب]], "mmmm")</f>
        <v>September</v>
      </c>
      <c r="Q56" s="16">
        <v>45581</v>
      </c>
      <c r="R56" s="6" t="s">
        <v>267</v>
      </c>
      <c r="S56" s="8" t="str" cm="1">
        <f t="array" ref="S56">_xlfn.IFS(
OR(data[[#This Row],[تاريخ التسليم]]="-",data[[#This Row],[ميعاد التسليم]]="-"),"غير محدد",
data[[#This Row],[ميعاد التسليم]] &lt;= data[[#This Row],[تاريخ التسليم]],"في الموعد",
TRUE,"متأخر"
)</f>
        <v>غير محدد</v>
      </c>
      <c r="T56" s="3" t="s">
        <v>162</v>
      </c>
      <c r="U56" s="3" t="s">
        <v>162</v>
      </c>
      <c r="V56" s="8" t="str">
        <f>TRIM(data[[#This Row],[المسئول عن التسليم]])</f>
        <v>فشل التسليم</v>
      </c>
    </row>
    <row r="57" spans="1:22" ht="20.100000000000001" hidden="1" customHeight="1" x14ac:dyDescent="0.3">
      <c r="A57" s="6" t="s">
        <v>120</v>
      </c>
      <c r="B57" s="4" t="str">
        <f>IF(OR(data[[#This Row],[أسم العميل]]="اوسكار راتن",data[[#This Row],[أسم العميل]]="تاكى",data[[#This Row],[أسم العميل]]="شيك هومز"),"شركة","افراد")</f>
        <v>افراد</v>
      </c>
      <c r="C57" s="6" t="s">
        <v>266</v>
      </c>
      <c r="D57" s="6" t="s">
        <v>257</v>
      </c>
      <c r="E57" s="4" t="s">
        <v>5</v>
      </c>
      <c r="F57" s="4" t="s">
        <v>219</v>
      </c>
      <c r="G57" s="6" t="s">
        <v>158</v>
      </c>
      <c r="H57" s="6" t="s">
        <v>246</v>
      </c>
      <c r="I57" s="6" t="s">
        <v>246</v>
      </c>
      <c r="J57" s="6" t="s">
        <v>246</v>
      </c>
      <c r="K57" s="4" t="s">
        <v>246</v>
      </c>
      <c r="L57" s="12" t="s">
        <v>121</v>
      </c>
      <c r="M57" s="9">
        <v>8349</v>
      </c>
      <c r="N57" s="10" t="s">
        <v>12</v>
      </c>
      <c r="O57" s="11">
        <v>45549</v>
      </c>
      <c r="P57" s="39" t="str">
        <f>TEXT(data[[#This Row],[ميعاد الطلب]], "mmmm")</f>
        <v>September</v>
      </c>
      <c r="Q57" s="11">
        <v>45581</v>
      </c>
      <c r="R57" s="11">
        <v>45586</v>
      </c>
      <c r="S57" s="8" t="str" cm="1">
        <f t="array" ref="S57">_xlfn.IFS(
OR(data[[#This Row],[تاريخ التسليم]]="-",data[[#This Row],[ميعاد التسليم]]="-"),"غير محدد",
data[[#This Row],[ميعاد التسليم]] &lt;= data[[#This Row],[تاريخ التسليم]],"في الموعد",
TRUE,"متأخر"
)</f>
        <v>في الموعد</v>
      </c>
      <c r="T57" s="3" t="s">
        <v>300</v>
      </c>
      <c r="U57" s="3" t="s">
        <v>164</v>
      </c>
      <c r="V57" s="8" t="str">
        <f>TRIM(data[[#This Row],[المسئول عن التسليم]])</f>
        <v>محمود على</v>
      </c>
    </row>
    <row r="58" spans="1:22" ht="20.100000000000001" hidden="1" customHeight="1" x14ac:dyDescent="0.3">
      <c r="A58" s="4" t="s">
        <v>293</v>
      </c>
      <c r="B58" s="4" t="str">
        <f>IF(OR(data[[#This Row],[أسم العميل]]="اوسكار راتن",data[[#This Row],[أسم العميل]]="تاكى",data[[#This Row],[أسم العميل]]="شيك هومز"),"شركة","افراد")</f>
        <v>شركة</v>
      </c>
      <c r="C58" s="6" t="s">
        <v>181</v>
      </c>
      <c r="D58" s="6" t="s">
        <v>253</v>
      </c>
      <c r="E58" s="4" t="s">
        <v>22</v>
      </c>
      <c r="F58" s="4" t="s">
        <v>129</v>
      </c>
      <c r="G58" s="6" t="s">
        <v>132</v>
      </c>
      <c r="H58" s="6" t="s">
        <v>135</v>
      </c>
      <c r="I58" s="9">
        <v>120</v>
      </c>
      <c r="J58" s="6" t="s">
        <v>143</v>
      </c>
      <c r="K58" s="4" t="s">
        <v>246</v>
      </c>
      <c r="L58" s="12"/>
      <c r="M58" s="9">
        <v>7433</v>
      </c>
      <c r="N58" s="10" t="s">
        <v>12</v>
      </c>
      <c r="O58" s="11">
        <v>45564</v>
      </c>
      <c r="P58" s="39" t="str">
        <f>TEXT(data[[#This Row],[ميعاد الطلب]], "mmmm")</f>
        <v>September</v>
      </c>
      <c r="Q58" s="11">
        <v>45585</v>
      </c>
      <c r="R58" s="11">
        <v>45586</v>
      </c>
      <c r="S58" s="8" t="str" cm="1">
        <f t="array" ref="S58">_xlfn.IFS(
OR(data[[#This Row],[تاريخ التسليم]]="-",data[[#This Row],[ميعاد التسليم]]="-"),"غير محدد",
data[[#This Row],[ميعاد التسليم]] &lt;= data[[#This Row],[تاريخ التسليم]],"في الموعد",
TRUE,"متأخر"
)</f>
        <v>في الموعد</v>
      </c>
      <c r="T58" s="3" t="s">
        <v>300</v>
      </c>
      <c r="U58" s="3" t="s">
        <v>164</v>
      </c>
      <c r="V58" s="8" t="str">
        <f>TRIM(data[[#This Row],[المسئول عن التسليم]])</f>
        <v>محمود على</v>
      </c>
    </row>
    <row r="59" spans="1:22" ht="20.100000000000001" hidden="1" customHeight="1" x14ac:dyDescent="0.3">
      <c r="A59" s="6" t="s">
        <v>101</v>
      </c>
      <c r="B59" s="4" t="str">
        <f>IF(OR(data[[#This Row],[أسم العميل]]="اوسكار راتن",data[[#This Row],[أسم العميل]]="تاكى",data[[#This Row],[أسم العميل]]="شيك هومز"),"شركة","افراد")</f>
        <v>افراد</v>
      </c>
      <c r="C59" s="6" t="s">
        <v>50</v>
      </c>
      <c r="D59" s="13" t="s">
        <v>253</v>
      </c>
      <c r="E59" s="4" t="s">
        <v>5</v>
      </c>
      <c r="F59" s="4" t="s">
        <v>219</v>
      </c>
      <c r="G59" s="13" t="s">
        <v>159</v>
      </c>
      <c r="H59" s="6" t="s">
        <v>246</v>
      </c>
      <c r="I59" s="6" t="s">
        <v>246</v>
      </c>
      <c r="J59" s="6" t="s">
        <v>246</v>
      </c>
      <c r="K59" s="4" t="s">
        <v>246</v>
      </c>
      <c r="L59" s="12" t="s">
        <v>19</v>
      </c>
      <c r="M59" s="14">
        <v>7849</v>
      </c>
      <c r="N59" s="15" t="s">
        <v>12</v>
      </c>
      <c r="O59" s="16">
        <v>45549</v>
      </c>
      <c r="P59" s="39" t="str">
        <f>TEXT(data[[#This Row],[ميعاد الطلب]], "mmmm")</f>
        <v>September</v>
      </c>
      <c r="Q59" s="16">
        <v>45594</v>
      </c>
      <c r="R59" s="16">
        <v>45595</v>
      </c>
      <c r="S59" s="8" t="str" cm="1">
        <f t="array" ref="S59">_xlfn.IFS(
OR(data[[#This Row],[تاريخ التسليم]]="-",data[[#This Row],[ميعاد التسليم]]="-"),"غير محدد",
data[[#This Row],[ميعاد التسليم]] &lt;= data[[#This Row],[تاريخ التسليم]],"في الموعد",
TRUE,"متأخر"
)</f>
        <v>في الموعد</v>
      </c>
      <c r="T59" s="3" t="s">
        <v>300</v>
      </c>
      <c r="U59" s="3" t="s">
        <v>164</v>
      </c>
      <c r="V59" s="8" t="str">
        <f>TRIM(data[[#This Row],[المسئول عن التسليم]])</f>
        <v>محمود على</v>
      </c>
    </row>
    <row r="60" spans="1:22" ht="20.100000000000001" customHeight="1" x14ac:dyDescent="0.3">
      <c r="A60" s="6" t="s">
        <v>102</v>
      </c>
      <c r="B60" s="4" t="str">
        <f>IF(OR(data[[#This Row],[أسم العميل]]="اوسكار راتن",data[[#This Row],[أسم العميل]]="تاكى",data[[#This Row],[أسم العميل]]="شيك هومز"),"شركة","افراد")</f>
        <v>افراد</v>
      </c>
      <c r="C60" s="6" t="s">
        <v>256</v>
      </c>
      <c r="D60" s="6" t="s">
        <v>257</v>
      </c>
      <c r="E60" s="4" t="s">
        <v>5</v>
      </c>
      <c r="F60" s="6" t="s">
        <v>129</v>
      </c>
      <c r="G60" s="13" t="s">
        <v>130</v>
      </c>
      <c r="H60" s="5" t="s">
        <v>246</v>
      </c>
      <c r="I60" s="5" t="s">
        <v>246</v>
      </c>
      <c r="J60" s="4" t="s">
        <v>144</v>
      </c>
      <c r="K60" s="4" t="s">
        <v>144</v>
      </c>
      <c r="L60" s="17" t="s">
        <v>103</v>
      </c>
      <c r="M60" s="14">
        <v>9399</v>
      </c>
      <c r="N60" s="15" t="s">
        <v>98</v>
      </c>
      <c r="O60" s="16">
        <v>45549</v>
      </c>
      <c r="P60" s="39" t="str">
        <f>TEXT(data[[#This Row],[ميعاد الطلب]], "mmmm")</f>
        <v>September</v>
      </c>
      <c r="Q60" s="16">
        <v>45594</v>
      </c>
      <c r="R60" s="16">
        <v>45580</v>
      </c>
      <c r="S60" s="8" t="str" cm="1">
        <f t="array" ref="S60">_xlfn.IFS(
OR(data[[#This Row],[تاريخ التسليم]]="-",data[[#This Row],[ميعاد التسليم]]="-"),"غير محدد",
data[[#This Row],[ميعاد التسليم]] &lt;= data[[#This Row],[تاريخ التسليم]],"في الموعد",
TRUE,"متأخر"
)</f>
        <v>متأخر</v>
      </c>
      <c r="T60" s="3" t="s">
        <v>300</v>
      </c>
      <c r="U60" s="3" t="s">
        <v>164</v>
      </c>
      <c r="V60" s="8" t="str">
        <f>TRIM(data[[#This Row],[المسئول عن التسليم]])</f>
        <v>محمود على</v>
      </c>
    </row>
    <row r="61" spans="1:22" ht="20.100000000000001" customHeight="1" x14ac:dyDescent="0.3">
      <c r="A61" s="6" t="s">
        <v>104</v>
      </c>
      <c r="B61" s="4" t="str">
        <f>IF(OR(data[[#This Row],[أسم العميل]]="اوسكار راتن",data[[#This Row],[أسم العميل]]="تاكى",data[[#This Row],[أسم العميل]]="شيك هومز"),"شركة","افراد")</f>
        <v>افراد</v>
      </c>
      <c r="C61" s="6" t="s">
        <v>259</v>
      </c>
      <c r="D61" s="6" t="s">
        <v>257</v>
      </c>
      <c r="E61" s="4" t="s">
        <v>5</v>
      </c>
      <c r="F61" s="4" t="s">
        <v>129</v>
      </c>
      <c r="G61" s="6" t="s">
        <v>132</v>
      </c>
      <c r="H61" s="6" t="s">
        <v>135</v>
      </c>
      <c r="I61" s="14">
        <v>140</v>
      </c>
      <c r="J61" s="4" t="s">
        <v>144</v>
      </c>
      <c r="K61" s="4" t="s">
        <v>246</v>
      </c>
      <c r="L61" s="12" t="s">
        <v>105</v>
      </c>
      <c r="M61" s="14">
        <v>11817</v>
      </c>
      <c r="N61" s="15" t="s">
        <v>98</v>
      </c>
      <c r="O61" s="16">
        <v>45549</v>
      </c>
      <c r="P61" s="39" t="str">
        <f>TEXT(data[[#This Row],[ميعاد الطلب]], "mmmm")</f>
        <v>September</v>
      </c>
      <c r="Q61" s="16">
        <v>45594</v>
      </c>
      <c r="R61" s="11">
        <v>45580</v>
      </c>
      <c r="S61" s="8" t="str" cm="1">
        <f t="array" ref="S61">_xlfn.IFS(
OR(data[[#This Row],[تاريخ التسليم]]="-",data[[#This Row],[ميعاد التسليم]]="-"),"غير محدد",
data[[#This Row],[ميعاد التسليم]] &lt;= data[[#This Row],[تاريخ التسليم]],"في الموعد",
TRUE,"متأخر"
)</f>
        <v>متأخر</v>
      </c>
      <c r="T61" s="3" t="s">
        <v>300</v>
      </c>
      <c r="U61" s="3" t="s">
        <v>164</v>
      </c>
      <c r="V61" s="8" t="str">
        <f>TRIM(data[[#This Row],[المسئول عن التسليم]])</f>
        <v>محمود على</v>
      </c>
    </row>
    <row r="62" spans="1:22" ht="20.100000000000001" hidden="1" customHeight="1" x14ac:dyDescent="0.3">
      <c r="A62" s="6" t="s">
        <v>106</v>
      </c>
      <c r="B62" s="4" t="str">
        <f>IF(OR(data[[#This Row],[أسم العميل]]="اوسكار راتن",data[[#This Row],[أسم العميل]]="تاكى",data[[#This Row],[أسم العميل]]="شيك هومز"),"شركة","افراد")</f>
        <v>افراد</v>
      </c>
      <c r="C62" s="6" t="s">
        <v>73</v>
      </c>
      <c r="D62" s="6" t="s">
        <v>253</v>
      </c>
      <c r="E62" s="4" t="s">
        <v>5</v>
      </c>
      <c r="F62" s="6" t="s">
        <v>219</v>
      </c>
      <c r="G62" s="6" t="s">
        <v>160</v>
      </c>
      <c r="H62" s="6" t="s">
        <v>246</v>
      </c>
      <c r="I62" s="6" t="s">
        <v>246</v>
      </c>
      <c r="J62" s="6" t="s">
        <v>246</v>
      </c>
      <c r="K62" s="6" t="s">
        <v>246</v>
      </c>
      <c r="L62" s="12" t="s">
        <v>107</v>
      </c>
      <c r="M62" s="14">
        <v>8349</v>
      </c>
      <c r="N62" s="15" t="s">
        <v>98</v>
      </c>
      <c r="O62" s="16">
        <v>45549</v>
      </c>
      <c r="P62" s="39" t="str">
        <f>TEXT(data[[#This Row],[ميعاد الطلب]], "mmmm")</f>
        <v>September</v>
      </c>
      <c r="Q62" s="16">
        <v>45594</v>
      </c>
      <c r="R62" s="11">
        <v>45584</v>
      </c>
      <c r="S62" s="8" t="str" cm="1">
        <f t="array" ref="S62">_xlfn.IFS(
OR(data[[#This Row],[تاريخ التسليم]]="-",data[[#This Row],[ميعاد التسليم]]="-"),"غير محدد",
data[[#This Row],[ميعاد التسليم]] &lt;= data[[#This Row],[تاريخ التسليم]],"في الموعد",
TRUE,"متأخر"
)</f>
        <v>متأخر</v>
      </c>
      <c r="T62" s="3" t="s">
        <v>300</v>
      </c>
      <c r="U62" s="3" t="s">
        <v>164</v>
      </c>
      <c r="V62" s="8" t="str">
        <f>TRIM(data[[#This Row],[المسئول عن التسليم]])</f>
        <v>محمود على</v>
      </c>
    </row>
    <row r="63" spans="1:22" ht="20.100000000000001" hidden="1" customHeight="1" x14ac:dyDescent="0.3">
      <c r="A63" s="6" t="s">
        <v>110</v>
      </c>
      <c r="B63" s="4" t="str">
        <f>IF(OR(data[[#This Row],[أسم العميل]]="اوسكار راتن",data[[#This Row],[أسم العميل]]="تاكى",data[[#This Row],[أسم العميل]]="شيك هومز"),"شركة","افراد")</f>
        <v>افراد</v>
      </c>
      <c r="C63" s="6" t="s">
        <v>111</v>
      </c>
      <c r="D63" s="6" t="s">
        <v>253</v>
      </c>
      <c r="E63" s="4" t="s">
        <v>5</v>
      </c>
      <c r="F63" s="4" t="s">
        <v>129</v>
      </c>
      <c r="G63" s="6" t="s">
        <v>132</v>
      </c>
      <c r="H63" s="6" t="s">
        <v>152</v>
      </c>
      <c r="I63" s="14">
        <v>120</v>
      </c>
      <c r="J63" s="13" t="s">
        <v>143</v>
      </c>
      <c r="K63" s="4" t="s">
        <v>246</v>
      </c>
      <c r="L63" s="12" t="s">
        <v>112</v>
      </c>
      <c r="M63" s="9">
        <v>17886</v>
      </c>
      <c r="N63" s="10" t="s">
        <v>98</v>
      </c>
      <c r="O63" s="11">
        <v>45549</v>
      </c>
      <c r="P63" s="39" t="str">
        <f>TEXT(data[[#This Row],[ميعاد الطلب]], "mmmm")</f>
        <v>September</v>
      </c>
      <c r="Q63" s="16">
        <v>45594</v>
      </c>
      <c r="R63" s="6" t="s">
        <v>267</v>
      </c>
      <c r="S63" s="8" t="str" cm="1">
        <f t="array" ref="S63">_xlfn.IFS(
OR(data[[#This Row],[تاريخ التسليم]]="-",data[[#This Row],[ميعاد التسليم]]="-"),"غير محدد",
data[[#This Row],[ميعاد التسليم]] &lt;= data[[#This Row],[تاريخ التسليم]],"في الموعد",
TRUE,"متأخر"
)</f>
        <v>غير محدد</v>
      </c>
      <c r="T63" s="3" t="s">
        <v>162</v>
      </c>
      <c r="U63" s="3" t="s">
        <v>162</v>
      </c>
      <c r="V63" s="8" t="str">
        <f>TRIM(data[[#This Row],[المسئول عن التسليم]])</f>
        <v>فشل التسليم</v>
      </c>
    </row>
    <row r="64" spans="1:22" ht="20.100000000000001" hidden="1" customHeight="1" x14ac:dyDescent="0.3">
      <c r="A64" s="6" t="s">
        <v>110</v>
      </c>
      <c r="B64" s="4" t="str">
        <f>IF(OR(data[[#This Row],[أسم العميل]]="اوسكار راتن",data[[#This Row],[أسم العميل]]="تاكى",data[[#This Row],[أسم العميل]]="شيك هومز"),"شركة","افراد")</f>
        <v>افراد</v>
      </c>
      <c r="C64" s="6" t="s">
        <v>111</v>
      </c>
      <c r="D64" s="6" t="s">
        <v>253</v>
      </c>
      <c r="E64" s="4" t="s">
        <v>5</v>
      </c>
      <c r="F64" s="6" t="s">
        <v>129</v>
      </c>
      <c r="G64" s="6" t="s">
        <v>132</v>
      </c>
      <c r="H64" s="6" t="s">
        <v>152</v>
      </c>
      <c r="I64" s="14">
        <v>120</v>
      </c>
      <c r="J64" s="13" t="s">
        <v>143</v>
      </c>
      <c r="K64" s="6" t="s">
        <v>246</v>
      </c>
      <c r="L64" s="12" t="s">
        <v>112</v>
      </c>
      <c r="M64" s="9">
        <v>17886</v>
      </c>
      <c r="N64" s="10" t="s">
        <v>98</v>
      </c>
      <c r="O64" s="11">
        <v>45549</v>
      </c>
      <c r="P64" s="39" t="str">
        <f>TEXT(data[[#This Row],[ميعاد الطلب]], "mmmm")</f>
        <v>September</v>
      </c>
      <c r="Q64" s="16">
        <v>45594</v>
      </c>
      <c r="R64" s="6" t="s">
        <v>267</v>
      </c>
      <c r="S64" s="8" t="str" cm="1">
        <f t="array" ref="S64">_xlfn.IFS(
OR(data[[#This Row],[تاريخ التسليم]]="-",data[[#This Row],[ميعاد التسليم]]="-"),"غير محدد",
data[[#This Row],[ميعاد التسليم]] &lt;= data[[#This Row],[تاريخ التسليم]],"في الموعد",
TRUE,"متأخر"
)</f>
        <v>غير محدد</v>
      </c>
      <c r="T64" s="3" t="s">
        <v>162</v>
      </c>
      <c r="U64" s="3" t="s">
        <v>162</v>
      </c>
      <c r="V64" s="8" t="str">
        <f>TRIM(data[[#This Row],[المسئول عن التسليم]])</f>
        <v>فشل التسليم</v>
      </c>
    </row>
    <row r="65" spans="1:22" ht="20.100000000000001" hidden="1" customHeight="1" x14ac:dyDescent="0.3">
      <c r="A65" s="6" t="s">
        <v>113</v>
      </c>
      <c r="B65" s="4" t="str">
        <f>IF(OR(data[[#This Row],[أسم العميل]]="اوسكار راتن",data[[#This Row],[أسم العميل]]="تاكى",data[[#This Row],[أسم العميل]]="شيك هومز"),"شركة","افراد")</f>
        <v>افراد</v>
      </c>
      <c r="C65" s="6" t="s">
        <v>55</v>
      </c>
      <c r="D65" s="6" t="s">
        <v>253</v>
      </c>
      <c r="E65" s="4" t="s">
        <v>5</v>
      </c>
      <c r="F65" s="4" t="s">
        <v>129</v>
      </c>
      <c r="G65" s="6" t="s">
        <v>132</v>
      </c>
      <c r="H65" s="6" t="s">
        <v>135</v>
      </c>
      <c r="I65" s="14">
        <v>120</v>
      </c>
      <c r="J65" s="13" t="s">
        <v>143</v>
      </c>
      <c r="K65" s="4" t="s">
        <v>246</v>
      </c>
      <c r="L65" s="12" t="s">
        <v>114</v>
      </c>
      <c r="M65" s="14">
        <v>10987</v>
      </c>
      <c r="N65" s="10" t="s">
        <v>12</v>
      </c>
      <c r="O65" s="11">
        <v>45549</v>
      </c>
      <c r="P65" s="39" t="str">
        <f>TEXT(data[[#This Row],[ميعاد الطلب]], "mmmm")</f>
        <v>September</v>
      </c>
      <c r="Q65" s="16">
        <v>45594</v>
      </c>
      <c r="R65" s="11">
        <v>45578</v>
      </c>
      <c r="S65" s="8" t="str" cm="1">
        <f t="array" ref="S65">_xlfn.IFS(
OR(data[[#This Row],[تاريخ التسليم]]="-",data[[#This Row],[ميعاد التسليم]]="-"),"غير محدد",
data[[#This Row],[ميعاد التسليم]] &lt;= data[[#This Row],[تاريخ التسليم]],"في الموعد",
TRUE,"متأخر"
)</f>
        <v>متأخر</v>
      </c>
      <c r="T65" s="3" t="s">
        <v>300</v>
      </c>
      <c r="U65" s="3" t="s">
        <v>164</v>
      </c>
      <c r="V65" s="8" t="str">
        <f>TRIM(data[[#This Row],[المسئول عن التسليم]])</f>
        <v>محمود على</v>
      </c>
    </row>
    <row r="66" spans="1:22" ht="20.100000000000001" hidden="1" customHeight="1" x14ac:dyDescent="0.3">
      <c r="A66" s="6" t="s">
        <v>113</v>
      </c>
      <c r="B66" s="4" t="str">
        <f>IF(OR(data[[#This Row],[أسم العميل]]="اوسكار راتن",data[[#This Row],[أسم العميل]]="تاكى",data[[#This Row],[أسم العميل]]="شيك هومز"),"شركة","افراد")</f>
        <v>افراد</v>
      </c>
      <c r="C66" s="6" t="s">
        <v>55</v>
      </c>
      <c r="D66" s="6" t="s">
        <v>253</v>
      </c>
      <c r="E66" s="4" t="s">
        <v>5</v>
      </c>
      <c r="F66" s="4" t="s">
        <v>129</v>
      </c>
      <c r="G66" s="6" t="s">
        <v>132</v>
      </c>
      <c r="H66" s="6" t="s">
        <v>135</v>
      </c>
      <c r="I66" s="14">
        <v>120</v>
      </c>
      <c r="J66" s="13" t="s">
        <v>143</v>
      </c>
      <c r="K66" s="4" t="s">
        <v>246</v>
      </c>
      <c r="L66" s="12" t="s">
        <v>114</v>
      </c>
      <c r="M66" s="14">
        <v>10987</v>
      </c>
      <c r="N66" s="10" t="s">
        <v>12</v>
      </c>
      <c r="O66" s="11">
        <v>45549</v>
      </c>
      <c r="P66" s="39" t="str">
        <f>TEXT(data[[#This Row],[ميعاد الطلب]], "mmmm")</f>
        <v>September</v>
      </c>
      <c r="Q66" s="16">
        <v>45594</v>
      </c>
      <c r="R66" s="11">
        <v>45578</v>
      </c>
      <c r="S66" s="8" t="str" cm="1">
        <f t="array" ref="S66">_xlfn.IFS(
OR(data[[#This Row],[تاريخ التسليم]]="-",data[[#This Row],[ميعاد التسليم]]="-"),"غير محدد",
data[[#This Row],[ميعاد التسليم]] &lt;= data[[#This Row],[تاريخ التسليم]],"في الموعد",
TRUE,"متأخر"
)</f>
        <v>متأخر</v>
      </c>
      <c r="T66" s="3" t="s">
        <v>300</v>
      </c>
      <c r="U66" s="3" t="s">
        <v>164</v>
      </c>
      <c r="V66" s="8" t="str">
        <f>TRIM(data[[#This Row],[المسئول عن التسليم]])</f>
        <v>محمود على</v>
      </c>
    </row>
    <row r="67" spans="1:22" ht="20.100000000000001" hidden="1" customHeight="1" x14ac:dyDescent="0.3">
      <c r="A67" s="6" t="s">
        <v>116</v>
      </c>
      <c r="B67" s="4" t="str">
        <f>IF(OR(data[[#This Row],[أسم العميل]]="اوسكار راتن",data[[#This Row],[أسم العميل]]="تاكى",data[[#This Row],[أسم العميل]]="شيك هومز"),"شركة","افراد")</f>
        <v>افراد</v>
      </c>
      <c r="C67" s="6" t="s">
        <v>117</v>
      </c>
      <c r="D67" s="6" t="s">
        <v>253</v>
      </c>
      <c r="E67" s="4" t="s">
        <v>5</v>
      </c>
      <c r="F67" s="4" t="s">
        <v>219</v>
      </c>
      <c r="G67" s="6" t="s">
        <v>158</v>
      </c>
      <c r="H67" s="6" t="s">
        <v>246</v>
      </c>
      <c r="I67" s="6" t="s">
        <v>246</v>
      </c>
      <c r="J67" s="6" t="s">
        <v>246</v>
      </c>
      <c r="K67" s="4" t="s">
        <v>246</v>
      </c>
      <c r="L67" s="12" t="s">
        <v>51</v>
      </c>
      <c r="M67" s="9">
        <v>10319</v>
      </c>
      <c r="N67" s="10" t="s">
        <v>12</v>
      </c>
      <c r="O67" s="11">
        <v>45549</v>
      </c>
      <c r="P67" s="39" t="str">
        <f>TEXT(data[[#This Row],[ميعاد الطلب]], "mmmm")</f>
        <v>September</v>
      </c>
      <c r="Q67" s="11">
        <v>45594</v>
      </c>
      <c r="R67" s="11">
        <v>45584</v>
      </c>
      <c r="S67" s="8" t="str" cm="1">
        <f t="array" ref="S67">_xlfn.IFS(
OR(data[[#This Row],[تاريخ التسليم]]="-",data[[#This Row],[ميعاد التسليم]]="-"),"غير محدد",
data[[#This Row],[ميعاد التسليم]] &lt;= data[[#This Row],[تاريخ التسليم]],"في الموعد",
TRUE,"متأخر"
)</f>
        <v>متأخر</v>
      </c>
      <c r="T67" s="3" t="s">
        <v>300</v>
      </c>
      <c r="U67" s="3" t="s">
        <v>164</v>
      </c>
      <c r="V67" s="8" t="str">
        <f>TRIM(data[[#This Row],[المسئول عن التسليم]])</f>
        <v>محمود على</v>
      </c>
    </row>
    <row r="68" spans="1:22" ht="20.100000000000001" customHeight="1" x14ac:dyDescent="0.3">
      <c r="A68" s="4" t="s">
        <v>293</v>
      </c>
      <c r="B68" s="4" t="str">
        <f>IF(OR(data[[#This Row],[أسم العميل]]="اوسكار راتن",data[[#This Row],[أسم العميل]]="تاكى",data[[#This Row],[أسم العميل]]="شيك هومز"),"شركة","افراد")</f>
        <v>شركة</v>
      </c>
      <c r="C68" s="6" t="s">
        <v>181</v>
      </c>
      <c r="D68" s="6" t="s">
        <v>253</v>
      </c>
      <c r="E68" s="4" t="s">
        <v>22</v>
      </c>
      <c r="F68" s="6" t="s">
        <v>142</v>
      </c>
      <c r="G68" s="6" t="s">
        <v>140</v>
      </c>
      <c r="H68" s="9" t="s">
        <v>246</v>
      </c>
      <c r="I68" s="9" t="s">
        <v>246</v>
      </c>
      <c r="J68" s="4" t="s">
        <v>144</v>
      </c>
      <c r="K68" s="6" t="s">
        <v>182</v>
      </c>
      <c r="L68" s="12"/>
      <c r="M68" s="9">
        <v>14550</v>
      </c>
      <c r="N68" s="10" t="s">
        <v>12</v>
      </c>
      <c r="O68" s="11">
        <v>45573</v>
      </c>
      <c r="P68" s="39" t="str">
        <f>TEXT(data[[#This Row],[ميعاد الطلب]], "mmmm")</f>
        <v>October</v>
      </c>
      <c r="Q68" s="11">
        <v>45594</v>
      </c>
      <c r="R68" s="16">
        <v>45595</v>
      </c>
      <c r="S68" s="8" t="str" cm="1">
        <f t="array" ref="S68">_xlfn.IFS(
OR(data[[#This Row],[تاريخ التسليم]]="-",data[[#This Row],[ميعاد التسليم]]="-"),"غير محدد",
data[[#This Row],[ميعاد التسليم]] &lt;= data[[#This Row],[تاريخ التسليم]],"في الموعد",
TRUE,"متأخر"
)</f>
        <v>في الموعد</v>
      </c>
      <c r="T68" s="3" t="s">
        <v>300</v>
      </c>
      <c r="U68" s="3" t="s">
        <v>164</v>
      </c>
      <c r="V68" s="8" t="str">
        <f>TRIM(data[[#This Row],[المسئول عن التسليم]])</f>
        <v>محمود على</v>
      </c>
    </row>
    <row r="69" spans="1:22" ht="20.100000000000001" customHeight="1" x14ac:dyDescent="0.3">
      <c r="A69" s="4" t="s">
        <v>293</v>
      </c>
      <c r="B69" s="4" t="str">
        <f>IF(OR(data[[#This Row],[أسم العميل]]="اوسكار راتن",data[[#This Row],[أسم العميل]]="تاكى",data[[#This Row],[أسم العميل]]="شيك هومز"),"شركة","افراد")</f>
        <v>شركة</v>
      </c>
      <c r="C69" s="4" t="s">
        <v>256</v>
      </c>
      <c r="D69" s="4" t="s">
        <v>257</v>
      </c>
      <c r="E69" s="4" t="s">
        <v>22</v>
      </c>
      <c r="F69" s="6" t="s">
        <v>142</v>
      </c>
      <c r="G69" s="6" t="s">
        <v>140</v>
      </c>
      <c r="H69" s="5" t="s">
        <v>246</v>
      </c>
      <c r="I69" s="5" t="s">
        <v>246</v>
      </c>
      <c r="J69" s="4" t="s">
        <v>144</v>
      </c>
      <c r="K69" s="4" t="s">
        <v>182</v>
      </c>
      <c r="L69" s="6"/>
      <c r="M69" s="5">
        <v>14550</v>
      </c>
      <c r="N69" s="7" t="s">
        <v>12</v>
      </c>
      <c r="O69" s="11">
        <v>45572</v>
      </c>
      <c r="P69" s="39" t="str">
        <f>TEXT(data[[#This Row],[ميعاد الطلب]], "mmmm")</f>
        <v>October</v>
      </c>
      <c r="Q69" s="11">
        <v>45594</v>
      </c>
      <c r="R69" s="8">
        <v>45580</v>
      </c>
      <c r="S69" s="8" t="str" cm="1">
        <f t="array" ref="S69">_xlfn.IFS(
OR(data[[#This Row],[تاريخ التسليم]]="-",data[[#This Row],[ميعاد التسليم]]="-"),"غير محدد",
data[[#This Row],[ميعاد التسليم]] &lt;= data[[#This Row],[تاريخ التسليم]],"في الموعد",
TRUE,"متأخر"
)</f>
        <v>متأخر</v>
      </c>
      <c r="T69" s="3" t="s">
        <v>300</v>
      </c>
      <c r="U69" s="3" t="s">
        <v>164</v>
      </c>
      <c r="V69" s="8" t="str">
        <f>TRIM(data[[#This Row],[المسئول عن التسليم]])</f>
        <v>محمود على</v>
      </c>
    </row>
    <row r="70" spans="1:22" ht="20.100000000000001" hidden="1" customHeight="1" x14ac:dyDescent="0.3">
      <c r="A70" s="6" t="s">
        <v>163</v>
      </c>
      <c r="B70" s="4" t="str">
        <f>IF(OR(data[[#This Row],[أسم العميل]]="اوسكار راتن",data[[#This Row],[أسم العميل]]="تاكى",data[[#This Row],[أسم العميل]]="شيك هومز"),"شركة","افراد")</f>
        <v>افراد</v>
      </c>
      <c r="C70" s="6" t="s">
        <v>125</v>
      </c>
      <c r="D70" s="6" t="s">
        <v>171</v>
      </c>
      <c r="E70" s="6" t="s">
        <v>5</v>
      </c>
      <c r="F70" s="4" t="s">
        <v>219</v>
      </c>
      <c r="G70" s="6" t="s">
        <v>158</v>
      </c>
      <c r="H70" s="6" t="s">
        <v>246</v>
      </c>
      <c r="I70" s="6" t="s">
        <v>246</v>
      </c>
      <c r="J70" s="6" t="s">
        <v>246</v>
      </c>
      <c r="K70" s="4" t="s">
        <v>246</v>
      </c>
      <c r="L70" s="6"/>
      <c r="M70" s="9">
        <v>7849</v>
      </c>
      <c r="N70" s="10">
        <v>6306</v>
      </c>
      <c r="O70" s="11">
        <v>45551</v>
      </c>
      <c r="P70" s="39" t="str">
        <f>TEXT(data[[#This Row],[ميعاد الطلب]], "mmmm")</f>
        <v>September</v>
      </c>
      <c r="Q70" s="11">
        <v>45595</v>
      </c>
      <c r="R70" s="11">
        <v>45610</v>
      </c>
      <c r="S70" s="8" t="str" cm="1">
        <f t="array" ref="S70">_xlfn.IFS(
OR(data[[#This Row],[تاريخ التسليم]]="-",data[[#This Row],[ميعاد التسليم]]="-"),"غير محدد",
data[[#This Row],[ميعاد التسليم]] &lt;= data[[#This Row],[تاريخ التسليم]],"في الموعد",
TRUE,"متأخر"
)</f>
        <v>في الموعد</v>
      </c>
      <c r="T70" s="3" t="s">
        <v>301</v>
      </c>
      <c r="U70" s="3" t="s">
        <v>164</v>
      </c>
      <c r="V70" s="8" t="str">
        <f>TRIM(data[[#This Row],[المسئول عن التسليم]])</f>
        <v>شركه شحن</v>
      </c>
    </row>
    <row r="71" spans="1:22" ht="20.100000000000001" customHeight="1" x14ac:dyDescent="0.3">
      <c r="A71" s="4" t="s">
        <v>293</v>
      </c>
      <c r="B71" s="4" t="str">
        <f>IF(OR(data[[#This Row],[أسم العميل]]="اوسكار راتن",data[[#This Row],[أسم العميل]]="تاكى",data[[#This Row],[أسم العميل]]="شيك هومز"),"شركة","افراد")</f>
        <v>شركة</v>
      </c>
      <c r="C71" s="6" t="s">
        <v>181</v>
      </c>
      <c r="D71" s="6" t="s">
        <v>253</v>
      </c>
      <c r="E71" s="6" t="s">
        <v>22</v>
      </c>
      <c r="F71" s="4" t="s">
        <v>142</v>
      </c>
      <c r="G71" s="6" t="s">
        <v>140</v>
      </c>
      <c r="H71" s="9" t="s">
        <v>246</v>
      </c>
      <c r="I71" s="9" t="s">
        <v>246</v>
      </c>
      <c r="J71" s="4" t="s">
        <v>144</v>
      </c>
      <c r="K71" s="4" t="s">
        <v>178</v>
      </c>
      <c r="L71" s="6"/>
      <c r="M71" s="9">
        <v>14550</v>
      </c>
      <c r="N71" s="10">
        <v>11495</v>
      </c>
      <c r="O71" s="11">
        <v>45575</v>
      </c>
      <c r="P71" s="39" t="str">
        <f>TEXT(data[[#This Row],[ميعاد الطلب]], "mmmm")</f>
        <v>October</v>
      </c>
      <c r="Q71" s="11">
        <v>45596</v>
      </c>
      <c r="R71" s="11">
        <v>45598</v>
      </c>
      <c r="S71" s="8" t="str" cm="1">
        <f t="array" ref="S71">_xlfn.IFS(
OR(data[[#This Row],[تاريخ التسليم]]="-",data[[#This Row],[ميعاد التسليم]]="-"),"غير محدد",
data[[#This Row],[ميعاد التسليم]] &lt;= data[[#This Row],[تاريخ التسليم]],"في الموعد",
TRUE,"متأخر"
)</f>
        <v>في الموعد</v>
      </c>
      <c r="T71" s="3" t="s">
        <v>300</v>
      </c>
      <c r="U71" s="3" t="s">
        <v>164</v>
      </c>
      <c r="V71" s="8" t="str">
        <f>TRIM(data[[#This Row],[المسئول عن التسليم]])</f>
        <v>محمود على</v>
      </c>
    </row>
    <row r="72" spans="1:22" ht="20.100000000000001" hidden="1" customHeight="1" x14ac:dyDescent="0.3">
      <c r="A72" s="6" t="s">
        <v>167</v>
      </c>
      <c r="B72" s="4" t="str">
        <f>IF(OR(data[[#This Row],[أسم العميل]]="اوسكار راتن",data[[#This Row],[أسم العميل]]="تاكى",data[[#This Row],[أسم العميل]]="شيك هومز"),"شركة","افراد")</f>
        <v>افراد</v>
      </c>
      <c r="C72" s="6" t="s">
        <v>31</v>
      </c>
      <c r="D72" s="6" t="s">
        <v>253</v>
      </c>
      <c r="E72" s="4" t="s">
        <v>5</v>
      </c>
      <c r="F72" s="4" t="s">
        <v>129</v>
      </c>
      <c r="G72" s="6" t="s">
        <v>132</v>
      </c>
      <c r="H72" s="6" t="s">
        <v>152</v>
      </c>
      <c r="I72" s="9">
        <v>120</v>
      </c>
      <c r="J72" s="6" t="s">
        <v>143</v>
      </c>
      <c r="K72" s="4" t="s">
        <v>246</v>
      </c>
      <c r="L72" s="6"/>
      <c r="M72" s="9">
        <v>8943</v>
      </c>
      <c r="N72" s="10">
        <v>9033</v>
      </c>
      <c r="O72" s="11">
        <v>45561</v>
      </c>
      <c r="P72" s="39" t="str">
        <f>TEXT(data[[#This Row],[ميعاد الطلب]], "mmmm")</f>
        <v>September</v>
      </c>
      <c r="Q72" s="11">
        <v>45606</v>
      </c>
      <c r="R72" s="11">
        <v>45575</v>
      </c>
      <c r="S72" s="8" t="str" cm="1">
        <f t="array" ref="S72">_xlfn.IFS(
OR(data[[#This Row],[تاريخ التسليم]]="-",data[[#This Row],[ميعاد التسليم]]="-"),"غير محدد",
data[[#This Row],[ميعاد التسليم]] &lt;= data[[#This Row],[تاريخ التسليم]],"في الموعد",
TRUE,"متأخر"
)</f>
        <v>متأخر</v>
      </c>
      <c r="T72" s="3" t="s">
        <v>300</v>
      </c>
      <c r="U72" s="3" t="s">
        <v>164</v>
      </c>
      <c r="V72" s="8" t="str">
        <f>TRIM(data[[#This Row],[المسئول عن التسليم]])</f>
        <v>محمود على</v>
      </c>
    </row>
    <row r="73" spans="1:22" ht="20.100000000000001" hidden="1" customHeight="1" x14ac:dyDescent="0.3">
      <c r="A73" s="6" t="s">
        <v>168</v>
      </c>
      <c r="B73" s="4" t="str">
        <f>IF(OR(data[[#This Row],[أسم العميل]]="اوسكار راتن",data[[#This Row],[أسم العميل]]="تاكى",data[[#This Row],[أسم العميل]]="شيك هومز"),"شركة","افراد")</f>
        <v>افراد</v>
      </c>
      <c r="C73" s="6" t="s">
        <v>256</v>
      </c>
      <c r="D73" s="6" t="s">
        <v>257</v>
      </c>
      <c r="E73" s="4" t="s">
        <v>5</v>
      </c>
      <c r="F73" s="6" t="s">
        <v>219</v>
      </c>
      <c r="G73" s="6" t="s">
        <v>160</v>
      </c>
      <c r="H73" s="4" t="s">
        <v>246</v>
      </c>
      <c r="I73" s="4" t="s">
        <v>246</v>
      </c>
      <c r="J73" s="4" t="s">
        <v>246</v>
      </c>
      <c r="K73" s="4" t="s">
        <v>246</v>
      </c>
      <c r="L73" s="6"/>
      <c r="M73" s="9">
        <v>8349</v>
      </c>
      <c r="N73" s="10">
        <v>8433</v>
      </c>
      <c r="O73" s="11">
        <v>45561</v>
      </c>
      <c r="P73" s="39" t="str">
        <f>TEXT(data[[#This Row],[ميعاد الطلب]], "mmmm")</f>
        <v>September</v>
      </c>
      <c r="Q73" s="11">
        <v>45606</v>
      </c>
      <c r="R73" s="6" t="s">
        <v>267</v>
      </c>
      <c r="S73" s="8" t="str" cm="1">
        <f t="array" ref="S73">_xlfn.IFS(
OR(data[[#This Row],[تاريخ التسليم]]="-",data[[#This Row],[ميعاد التسليم]]="-"),"غير محدد",
data[[#This Row],[ميعاد التسليم]] &lt;= data[[#This Row],[تاريخ التسليم]],"في الموعد",
TRUE,"متأخر"
)</f>
        <v>غير محدد</v>
      </c>
      <c r="T73" s="3" t="s">
        <v>162</v>
      </c>
      <c r="U73" s="3" t="s">
        <v>162</v>
      </c>
      <c r="V73" s="8" t="str">
        <f>TRIM(data[[#This Row],[المسئول عن التسليم]])</f>
        <v>فشل التسليم</v>
      </c>
    </row>
    <row r="74" spans="1:22" ht="20.100000000000001" customHeight="1" x14ac:dyDescent="0.3">
      <c r="A74" s="6" t="s">
        <v>113</v>
      </c>
      <c r="B74" s="4" t="str">
        <f>IF(OR(data[[#This Row],[أسم العميل]]="اوسكار راتن",data[[#This Row],[أسم العميل]]="تاكى",data[[#This Row],[أسم العميل]]="شيك هومز"),"شركة","افراد")</f>
        <v>افراد</v>
      </c>
      <c r="C74" s="6" t="s">
        <v>259</v>
      </c>
      <c r="D74" s="6" t="s">
        <v>257</v>
      </c>
      <c r="E74" s="6" t="s">
        <v>5</v>
      </c>
      <c r="F74" s="6" t="s">
        <v>129</v>
      </c>
      <c r="G74" s="6" t="s">
        <v>141</v>
      </c>
      <c r="H74" s="4" t="s">
        <v>133</v>
      </c>
      <c r="I74" s="5">
        <v>90</v>
      </c>
      <c r="J74" s="4" t="s">
        <v>144</v>
      </c>
      <c r="K74" s="6" t="s">
        <v>246</v>
      </c>
      <c r="L74" s="6"/>
      <c r="M74" s="9">
        <v>11649</v>
      </c>
      <c r="N74" s="10">
        <v>11749</v>
      </c>
      <c r="O74" s="11">
        <v>45591</v>
      </c>
      <c r="P74" s="39" t="str">
        <f>TEXT(data[[#This Row],[ميعاد الطلب]], "mmmm")</f>
        <v>October</v>
      </c>
      <c r="Q74" s="11">
        <v>45606</v>
      </c>
      <c r="R74" s="11">
        <v>45614</v>
      </c>
      <c r="S74" s="8" t="str" cm="1">
        <f t="array" ref="S74">_xlfn.IFS(
OR(data[[#This Row],[تاريخ التسليم]]="-",data[[#This Row],[ميعاد التسليم]]="-"),"غير محدد",
data[[#This Row],[ميعاد التسليم]] &lt;= data[[#This Row],[تاريخ التسليم]],"في الموعد",
TRUE,"متأخر"
)</f>
        <v>في الموعد</v>
      </c>
      <c r="T74" s="3" t="s">
        <v>300</v>
      </c>
      <c r="U74" s="3" t="s">
        <v>164</v>
      </c>
      <c r="V74" s="8" t="str">
        <f>TRIM(data[[#This Row],[المسئول عن التسليم]])</f>
        <v>محمود على</v>
      </c>
    </row>
    <row r="75" spans="1:22" ht="20.100000000000001" customHeight="1" x14ac:dyDescent="0.3">
      <c r="A75" s="6" t="s">
        <v>113</v>
      </c>
      <c r="B75" s="4" t="str">
        <f>IF(OR(data[[#This Row],[أسم العميل]]="اوسكار راتن",data[[#This Row],[أسم العميل]]="تاكى",data[[#This Row],[أسم العميل]]="شيك هومز"),"شركة","افراد")</f>
        <v>افراد</v>
      </c>
      <c r="C75" s="6" t="s">
        <v>259</v>
      </c>
      <c r="D75" s="6" t="s">
        <v>257</v>
      </c>
      <c r="E75" s="6" t="s">
        <v>5</v>
      </c>
      <c r="F75" s="4" t="s">
        <v>129</v>
      </c>
      <c r="G75" s="6" t="s">
        <v>141</v>
      </c>
      <c r="H75" s="6" t="s">
        <v>133</v>
      </c>
      <c r="I75" s="9">
        <v>90</v>
      </c>
      <c r="J75" s="4" t="s">
        <v>144</v>
      </c>
      <c r="K75" s="4" t="s">
        <v>246</v>
      </c>
      <c r="L75" s="6"/>
      <c r="M75" s="9">
        <v>11649</v>
      </c>
      <c r="N75" s="10">
        <v>11749</v>
      </c>
      <c r="O75" s="11">
        <v>45591</v>
      </c>
      <c r="P75" s="39" t="str">
        <f>TEXT(data[[#This Row],[ميعاد الطلب]], "mmmm")</f>
        <v>October</v>
      </c>
      <c r="Q75" s="11">
        <v>45606</v>
      </c>
      <c r="R75" s="11">
        <v>45614</v>
      </c>
      <c r="S75" s="8" t="str" cm="1">
        <f t="array" ref="S75">_xlfn.IFS(
OR(data[[#This Row],[تاريخ التسليم]]="-",data[[#This Row],[ميعاد التسليم]]="-"),"غير محدد",
data[[#This Row],[ميعاد التسليم]] &lt;= data[[#This Row],[تاريخ التسليم]],"في الموعد",
TRUE,"متأخر"
)</f>
        <v>في الموعد</v>
      </c>
      <c r="T75" s="3" t="s">
        <v>300</v>
      </c>
      <c r="U75" s="3" t="s">
        <v>164</v>
      </c>
      <c r="V75" s="8" t="str">
        <f>TRIM(data[[#This Row],[المسئول عن التسليم]])</f>
        <v>محمود على</v>
      </c>
    </row>
    <row r="76" spans="1:22" ht="20.100000000000001" hidden="1" customHeight="1" x14ac:dyDescent="0.3">
      <c r="A76" s="6" t="s">
        <v>196</v>
      </c>
      <c r="B76" s="4" t="str">
        <f>IF(OR(data[[#This Row],[أسم العميل]]="اوسكار راتن",data[[#This Row],[أسم العميل]]="تاكى",data[[#This Row],[أسم العميل]]="شيك هومز"),"شركة","افراد")</f>
        <v>افراد</v>
      </c>
      <c r="C76" s="6" t="s">
        <v>240</v>
      </c>
      <c r="D76" s="6" t="s">
        <v>253</v>
      </c>
      <c r="E76" s="6" t="s">
        <v>5</v>
      </c>
      <c r="F76" s="4" t="s">
        <v>129</v>
      </c>
      <c r="G76" s="6" t="s">
        <v>132</v>
      </c>
      <c r="H76" s="6" t="s">
        <v>135</v>
      </c>
      <c r="I76" s="9">
        <v>100</v>
      </c>
      <c r="J76" s="6" t="s">
        <v>143</v>
      </c>
      <c r="K76" s="4" t="s">
        <v>246</v>
      </c>
      <c r="L76" s="6"/>
      <c r="M76" s="9">
        <v>5100</v>
      </c>
      <c r="N76" s="10">
        <v>4800</v>
      </c>
      <c r="O76" s="11">
        <v>45593</v>
      </c>
      <c r="P76" s="39" t="str">
        <f>TEXT(data[[#This Row],[ميعاد الطلب]], "mmmm")</f>
        <v>October</v>
      </c>
      <c r="Q76" s="11">
        <v>45607</v>
      </c>
      <c r="R76" s="11">
        <v>45617</v>
      </c>
      <c r="S76" s="8" t="str" cm="1">
        <f t="array" ref="S76">_xlfn.IFS(
OR(data[[#This Row],[تاريخ التسليم]]="-",data[[#This Row],[ميعاد التسليم]]="-"),"غير محدد",
data[[#This Row],[ميعاد التسليم]] &lt;= data[[#This Row],[تاريخ التسليم]],"في الموعد",
TRUE,"متأخر"
)</f>
        <v>في الموعد</v>
      </c>
      <c r="T76" s="3" t="s">
        <v>300</v>
      </c>
      <c r="U76" s="3" t="s">
        <v>164</v>
      </c>
      <c r="V76" s="8" t="str">
        <f>TRIM(data[[#This Row],[المسئول عن التسليم]])</f>
        <v>محمود على</v>
      </c>
    </row>
    <row r="77" spans="1:22" ht="20.100000000000001" hidden="1" customHeight="1" x14ac:dyDescent="0.3">
      <c r="A77" s="6" t="s">
        <v>196</v>
      </c>
      <c r="B77" s="4" t="str">
        <f>IF(OR(data[[#This Row],[أسم العميل]]="اوسكار راتن",data[[#This Row],[أسم العميل]]="تاكى",data[[#This Row],[أسم العميل]]="شيك هومز"),"شركة","افراد")</f>
        <v>افراد</v>
      </c>
      <c r="C77" s="6" t="s">
        <v>240</v>
      </c>
      <c r="D77" s="6" t="s">
        <v>253</v>
      </c>
      <c r="E77" s="6" t="s">
        <v>5</v>
      </c>
      <c r="F77" s="4" t="s">
        <v>129</v>
      </c>
      <c r="G77" s="6" t="s">
        <v>132</v>
      </c>
      <c r="H77" s="6" t="s">
        <v>135</v>
      </c>
      <c r="I77" s="9">
        <v>120</v>
      </c>
      <c r="J77" s="6" t="s">
        <v>143</v>
      </c>
      <c r="K77" s="4" t="s">
        <v>246</v>
      </c>
      <c r="L77" s="6"/>
      <c r="M77" s="9">
        <v>5300</v>
      </c>
      <c r="N77" s="10">
        <v>4800</v>
      </c>
      <c r="O77" s="11">
        <v>45593</v>
      </c>
      <c r="P77" s="39" t="str">
        <f>TEXT(data[[#This Row],[ميعاد الطلب]], "mmmm")</f>
        <v>October</v>
      </c>
      <c r="Q77" s="11">
        <v>45607</v>
      </c>
      <c r="R77" s="11">
        <v>45617</v>
      </c>
      <c r="S77" s="8" t="str" cm="1">
        <f t="array" ref="S77">_xlfn.IFS(
OR(data[[#This Row],[تاريخ التسليم]]="-",data[[#This Row],[ميعاد التسليم]]="-"),"غير محدد",
data[[#This Row],[ميعاد التسليم]] &lt;= data[[#This Row],[تاريخ التسليم]],"في الموعد",
TRUE,"متأخر"
)</f>
        <v>في الموعد</v>
      </c>
      <c r="T77" s="3" t="s">
        <v>300</v>
      </c>
      <c r="U77" s="3" t="s">
        <v>164</v>
      </c>
      <c r="V77" s="8" t="str">
        <f>TRIM(data[[#This Row],[المسئول عن التسليم]])</f>
        <v>محمود على</v>
      </c>
    </row>
    <row r="78" spans="1:22" ht="20.100000000000001" hidden="1" customHeight="1" x14ac:dyDescent="0.3">
      <c r="A78" s="4" t="s">
        <v>293</v>
      </c>
      <c r="B78" s="4" t="str">
        <f>IF(OR(data[[#This Row],[أسم العميل]]="اوسكار راتن",data[[#This Row],[أسم العميل]]="تاكى",data[[#This Row],[أسم العميل]]="شيك هومز"),"شركة","افراد")</f>
        <v>شركة</v>
      </c>
      <c r="C78" s="6" t="s">
        <v>256</v>
      </c>
      <c r="D78" s="6" t="s">
        <v>257</v>
      </c>
      <c r="E78" s="6" t="s">
        <v>22</v>
      </c>
      <c r="F78" s="4" t="s">
        <v>129</v>
      </c>
      <c r="G78" s="6" t="s">
        <v>141</v>
      </c>
      <c r="H78" s="6" t="s">
        <v>192</v>
      </c>
      <c r="I78" s="9">
        <v>100</v>
      </c>
      <c r="J78" s="6" t="s">
        <v>193</v>
      </c>
      <c r="K78" s="4" t="s">
        <v>246</v>
      </c>
      <c r="L78" s="6"/>
      <c r="M78" s="9">
        <v>12777.5</v>
      </c>
      <c r="N78" s="10">
        <v>11277.5</v>
      </c>
      <c r="O78" s="11">
        <v>45587</v>
      </c>
      <c r="P78" s="39" t="str">
        <f>TEXT(data[[#This Row],[ميعاد الطلب]], "mmmm")</f>
        <v>October</v>
      </c>
      <c r="Q78" s="11">
        <v>45608</v>
      </c>
      <c r="R78" s="11">
        <v>45614</v>
      </c>
      <c r="S78" s="8" t="str" cm="1">
        <f t="array" ref="S78">_xlfn.IFS(
OR(data[[#This Row],[تاريخ التسليم]]="-",data[[#This Row],[ميعاد التسليم]]="-"),"غير محدد",
data[[#This Row],[ميعاد التسليم]] &lt;= data[[#This Row],[تاريخ التسليم]],"في الموعد",
TRUE,"متأخر"
)</f>
        <v>في الموعد</v>
      </c>
      <c r="T78" s="3" t="s">
        <v>300</v>
      </c>
      <c r="U78" s="3" t="s">
        <v>164</v>
      </c>
      <c r="V78" s="8" t="str">
        <f>TRIM(data[[#This Row],[المسئول عن التسليم]])</f>
        <v>محمود على</v>
      </c>
    </row>
    <row r="79" spans="1:22" ht="20.100000000000001" hidden="1" customHeight="1" x14ac:dyDescent="0.3">
      <c r="A79" s="4" t="s">
        <v>293</v>
      </c>
      <c r="B79" s="4" t="str">
        <f>IF(OR(data[[#This Row],[أسم العميل]]="اوسكار راتن",data[[#This Row],[أسم العميل]]="تاكى",data[[#This Row],[أسم العميل]]="شيك هومز"),"شركة","افراد")</f>
        <v>شركة</v>
      </c>
      <c r="C79" s="6" t="s">
        <v>256</v>
      </c>
      <c r="D79" s="6" t="s">
        <v>257</v>
      </c>
      <c r="E79" s="6" t="s">
        <v>22</v>
      </c>
      <c r="F79" s="4" t="s">
        <v>129</v>
      </c>
      <c r="G79" s="6" t="s">
        <v>141</v>
      </c>
      <c r="H79" s="6" t="s">
        <v>192</v>
      </c>
      <c r="I79" s="9">
        <v>100</v>
      </c>
      <c r="J79" s="6" t="s">
        <v>193</v>
      </c>
      <c r="K79" s="6" t="s">
        <v>246</v>
      </c>
      <c r="L79" s="6"/>
      <c r="M79" s="40">
        <v>12777.5</v>
      </c>
      <c r="N79" s="10">
        <v>11277.5</v>
      </c>
      <c r="O79" s="11">
        <v>45587</v>
      </c>
      <c r="P79" s="39" t="str">
        <f>TEXT(data[[#This Row],[ميعاد الطلب]], "mmmm")</f>
        <v>October</v>
      </c>
      <c r="Q79" s="11">
        <v>45608</v>
      </c>
      <c r="R79" s="11">
        <v>45614</v>
      </c>
      <c r="S79" s="8" t="str" cm="1">
        <f t="array" ref="S79">_xlfn.IFS(
OR(data[[#This Row],[تاريخ التسليم]]="-",data[[#This Row],[ميعاد التسليم]]="-"),"غير محدد",
data[[#This Row],[ميعاد التسليم]] &lt;= data[[#This Row],[تاريخ التسليم]],"في الموعد",
TRUE,"متأخر"
)</f>
        <v>في الموعد</v>
      </c>
      <c r="T79" s="3" t="s">
        <v>300</v>
      </c>
      <c r="U79" s="3" t="s">
        <v>164</v>
      </c>
      <c r="V79" s="8" t="str">
        <f>TRIM(data[[#This Row],[المسئول عن التسليم]])</f>
        <v>محمود على</v>
      </c>
    </row>
    <row r="80" spans="1:22" ht="20.100000000000001" hidden="1" customHeight="1" x14ac:dyDescent="0.3">
      <c r="A80" s="6" t="s">
        <v>195</v>
      </c>
      <c r="B80" s="4" t="str">
        <f>IF(OR(data[[#This Row],[أسم العميل]]="اوسكار راتن",data[[#This Row],[أسم العميل]]="تاكى",data[[#This Row],[أسم العميل]]="شيك هومز"),"شركة","افراد")</f>
        <v>افراد</v>
      </c>
      <c r="C80" s="6" t="s">
        <v>256</v>
      </c>
      <c r="D80" s="6" t="s">
        <v>257</v>
      </c>
      <c r="E80" s="6" t="s">
        <v>5</v>
      </c>
      <c r="F80" s="6" t="s">
        <v>129</v>
      </c>
      <c r="G80" s="6" t="s">
        <v>132</v>
      </c>
      <c r="H80" s="6" t="s">
        <v>152</v>
      </c>
      <c r="I80" s="9">
        <v>120</v>
      </c>
      <c r="J80" s="6" t="s">
        <v>143</v>
      </c>
      <c r="K80" s="6" t="s">
        <v>246</v>
      </c>
      <c r="L80" s="6"/>
      <c r="M80" s="9">
        <v>8943</v>
      </c>
      <c r="N80" s="10">
        <v>9007.01</v>
      </c>
      <c r="O80" s="11">
        <v>45586</v>
      </c>
      <c r="P80" s="39" t="str">
        <f>TEXT(data[[#This Row],[ميعاد الطلب]], "mmmm")</f>
        <v>October</v>
      </c>
      <c r="Q80" s="11">
        <v>45610</v>
      </c>
      <c r="R80" s="11">
        <v>45614</v>
      </c>
      <c r="S80" s="8" t="str" cm="1">
        <f t="array" ref="S80">_xlfn.IFS(
OR(data[[#This Row],[تاريخ التسليم]]="-",data[[#This Row],[ميعاد التسليم]]="-"),"غير محدد",
data[[#This Row],[ميعاد التسليم]] &lt;= data[[#This Row],[تاريخ التسليم]],"في الموعد",
TRUE,"متأخر"
)</f>
        <v>في الموعد</v>
      </c>
      <c r="T80" s="3" t="s">
        <v>300</v>
      </c>
      <c r="U80" s="3" t="s">
        <v>164</v>
      </c>
      <c r="V80" s="8" t="str">
        <f>TRIM(data[[#This Row],[المسئول عن التسليم]])</f>
        <v>محمود على</v>
      </c>
    </row>
    <row r="81" spans="1:22" ht="20.100000000000001" customHeight="1" x14ac:dyDescent="0.3">
      <c r="A81" s="4" t="s">
        <v>293</v>
      </c>
      <c r="B81" s="4" t="str">
        <f>IF(OR(data[[#This Row],[أسم العميل]]="اوسكار راتن",data[[#This Row],[أسم العميل]]="تاكى",data[[#This Row],[أسم العميل]]="شيك هومز"),"شركة","افراد")</f>
        <v>شركة</v>
      </c>
      <c r="C81" s="6" t="s">
        <v>181</v>
      </c>
      <c r="D81" s="6" t="s">
        <v>253</v>
      </c>
      <c r="E81" s="6" t="s">
        <v>22</v>
      </c>
      <c r="F81" s="6" t="s">
        <v>142</v>
      </c>
      <c r="G81" s="6" t="s">
        <v>140</v>
      </c>
      <c r="H81" s="9" t="s">
        <v>246</v>
      </c>
      <c r="I81" s="9" t="s">
        <v>246</v>
      </c>
      <c r="J81" s="4" t="s">
        <v>144</v>
      </c>
      <c r="K81" s="6" t="s">
        <v>246</v>
      </c>
      <c r="L81" s="6"/>
      <c r="M81" s="9">
        <v>15516</v>
      </c>
      <c r="N81" s="10" t="s">
        <v>12</v>
      </c>
      <c r="O81" s="11">
        <v>45589</v>
      </c>
      <c r="P81" s="39" t="str">
        <f>TEXT(data[[#This Row],[ميعاد الطلب]], "mmmm")</f>
        <v>October</v>
      </c>
      <c r="Q81" s="11">
        <v>45610</v>
      </c>
      <c r="R81" s="16">
        <v>45595</v>
      </c>
      <c r="S81" s="8" t="str" cm="1">
        <f t="array" ref="S81">_xlfn.IFS(
OR(data[[#This Row],[تاريخ التسليم]]="-",data[[#This Row],[ميعاد التسليم]]="-"),"غير محدد",
data[[#This Row],[ميعاد التسليم]] &lt;= data[[#This Row],[تاريخ التسليم]],"في الموعد",
TRUE,"متأخر"
)</f>
        <v>متأخر</v>
      </c>
      <c r="T81" s="3" t="s">
        <v>300</v>
      </c>
      <c r="U81" s="3" t="s">
        <v>164</v>
      </c>
      <c r="V81" s="8" t="str">
        <f>TRIM(data[[#This Row],[المسئول عن التسليم]])</f>
        <v>محمود على</v>
      </c>
    </row>
    <row r="82" spans="1:22" ht="20.100000000000001" customHeight="1" x14ac:dyDescent="0.3">
      <c r="A82" s="4" t="s">
        <v>293</v>
      </c>
      <c r="B82" s="4" t="str">
        <f>IF(OR(data[[#This Row],[أسم العميل]]="اوسكار راتن",data[[#This Row],[أسم العميل]]="تاكى",data[[#This Row],[أسم العميل]]="شيك هومز"),"شركة","افراد")</f>
        <v>شركة</v>
      </c>
      <c r="C82" s="6" t="s">
        <v>181</v>
      </c>
      <c r="D82" s="6" t="s">
        <v>253</v>
      </c>
      <c r="E82" s="4" t="s">
        <v>22</v>
      </c>
      <c r="F82" s="4" t="s">
        <v>129</v>
      </c>
      <c r="G82" s="6" t="s">
        <v>141</v>
      </c>
      <c r="H82" s="6" t="s">
        <v>133</v>
      </c>
      <c r="I82" s="9">
        <v>100</v>
      </c>
      <c r="J82" s="4" t="s">
        <v>144</v>
      </c>
      <c r="K82" s="6" t="s">
        <v>246</v>
      </c>
      <c r="L82" s="6"/>
      <c r="M82" s="9">
        <v>10045</v>
      </c>
      <c r="N82" s="10">
        <v>8879</v>
      </c>
      <c r="O82" s="11">
        <v>45591</v>
      </c>
      <c r="P82" s="39" t="str">
        <f>TEXT(data[[#This Row],[ميعاد الطلب]], "mmmm")</f>
        <v>October</v>
      </c>
      <c r="Q82" s="11">
        <v>45612</v>
      </c>
      <c r="R82" s="6" t="s">
        <v>267</v>
      </c>
      <c r="S82" s="8" t="str" cm="1">
        <f t="array" ref="S82">_xlfn.IFS(
OR(data[[#This Row],[تاريخ التسليم]]="-",data[[#This Row],[ميعاد التسليم]]="-"),"غير محدد",
data[[#This Row],[ميعاد التسليم]] &lt;= data[[#This Row],[تاريخ التسليم]],"في الموعد",
TRUE,"متأخر"
)</f>
        <v>غير محدد</v>
      </c>
      <c r="T82" s="3" t="s">
        <v>162</v>
      </c>
      <c r="U82" s="3" t="s">
        <v>162</v>
      </c>
      <c r="V82" s="8" t="str">
        <f>TRIM(data[[#This Row],[المسئول عن التسليم]])</f>
        <v>فشل التسليم</v>
      </c>
    </row>
    <row r="83" spans="1:22" ht="20.100000000000001" customHeight="1" x14ac:dyDescent="0.3">
      <c r="A83" s="6" t="s">
        <v>179</v>
      </c>
      <c r="B83" s="4" t="str">
        <f>IF(OR(data[[#This Row],[أسم العميل]]="اوسكار راتن",data[[#This Row],[أسم العميل]]="تاكى",data[[#This Row],[أسم العميل]]="شيك هومز"),"شركة","افراد")</f>
        <v>افراد</v>
      </c>
      <c r="C83" s="6" t="s">
        <v>180</v>
      </c>
      <c r="D83" s="6" t="s">
        <v>253</v>
      </c>
      <c r="E83" s="6" t="s">
        <v>5</v>
      </c>
      <c r="F83" s="6" t="s">
        <v>129</v>
      </c>
      <c r="G83" s="6" t="s">
        <v>130</v>
      </c>
      <c r="H83" s="9" t="s">
        <v>246</v>
      </c>
      <c r="I83" s="9" t="s">
        <v>246</v>
      </c>
      <c r="J83" s="4" t="s">
        <v>144</v>
      </c>
      <c r="K83" s="6" t="s">
        <v>144</v>
      </c>
      <c r="L83" s="6"/>
      <c r="M83" s="9">
        <v>8899</v>
      </c>
      <c r="N83" s="10">
        <v>8988</v>
      </c>
      <c r="O83" s="11">
        <v>45568</v>
      </c>
      <c r="P83" s="39" t="str">
        <f>TEXT(data[[#This Row],[ميعاد الطلب]], "mmmm")</f>
        <v>October</v>
      </c>
      <c r="Q83" s="11">
        <v>45613</v>
      </c>
      <c r="R83" s="6" t="s">
        <v>267</v>
      </c>
      <c r="S83" s="8" t="str" cm="1">
        <f t="array" ref="S83">_xlfn.IFS(
OR(data[[#This Row],[تاريخ التسليم]]="-",data[[#This Row],[ميعاد التسليم]]="-"),"غير محدد",
data[[#This Row],[ميعاد التسليم]] &lt;= data[[#This Row],[تاريخ التسليم]],"في الموعد",
TRUE,"متأخر"
)</f>
        <v>غير محدد</v>
      </c>
      <c r="T83" s="3" t="s">
        <v>246</v>
      </c>
      <c r="U83" s="3" t="s">
        <v>246</v>
      </c>
      <c r="V83" s="8" t="str">
        <f>TRIM(data[[#This Row],[المسئول عن التسليم]])</f>
        <v>غير محدد</v>
      </c>
    </row>
    <row r="84" spans="1:22" ht="20.100000000000001" hidden="1" customHeight="1" x14ac:dyDescent="0.3">
      <c r="A84" s="6" t="s">
        <v>188</v>
      </c>
      <c r="B84" s="4" t="str">
        <f>IF(OR(data[[#This Row],[أسم العميل]]="اوسكار راتن",data[[#This Row],[أسم العميل]]="تاكى",data[[#This Row],[أسم العميل]]="شيك هومز"),"شركة","افراد")</f>
        <v>افراد</v>
      </c>
      <c r="C84" s="6" t="s">
        <v>50</v>
      </c>
      <c r="D84" s="6" t="s">
        <v>253</v>
      </c>
      <c r="E84" s="6" t="s">
        <v>189</v>
      </c>
      <c r="F84" s="6" t="s">
        <v>129</v>
      </c>
      <c r="G84" s="6" t="s">
        <v>132</v>
      </c>
      <c r="H84" s="6" t="s">
        <v>190</v>
      </c>
      <c r="I84" s="9">
        <v>140</v>
      </c>
      <c r="J84" s="6" t="s">
        <v>178</v>
      </c>
      <c r="K84" s="6" t="s">
        <v>191</v>
      </c>
      <c r="L84" s="6"/>
      <c r="M84" s="9">
        <v>5135</v>
      </c>
      <c r="N84" s="10" t="s">
        <v>12</v>
      </c>
      <c r="O84" s="11">
        <v>45585</v>
      </c>
      <c r="P84" s="39" t="str">
        <f>TEXT(data[[#This Row],[ميعاد الطلب]], "mmmm")</f>
        <v>October</v>
      </c>
      <c r="Q84" s="11">
        <v>45613</v>
      </c>
      <c r="R84" s="11">
        <v>45610</v>
      </c>
      <c r="S84" s="8" t="str" cm="1">
        <f t="array" ref="S84">_xlfn.IFS(
OR(data[[#This Row],[تاريخ التسليم]]="-",data[[#This Row],[ميعاد التسليم]]="-"),"غير محدد",
data[[#This Row],[ميعاد التسليم]] &lt;= data[[#This Row],[تاريخ التسليم]],"في الموعد",
TRUE,"متأخر"
)</f>
        <v>متأخر</v>
      </c>
      <c r="T84" s="3" t="s">
        <v>300</v>
      </c>
      <c r="U84" s="3" t="s">
        <v>164</v>
      </c>
      <c r="V84" s="8" t="str">
        <f>TRIM(data[[#This Row],[المسئول عن التسليم]])</f>
        <v>محمود على</v>
      </c>
    </row>
    <row r="85" spans="1:22" ht="20.100000000000001" hidden="1" customHeight="1" x14ac:dyDescent="0.3">
      <c r="A85" s="6" t="s">
        <v>95</v>
      </c>
      <c r="B85" s="4" t="str">
        <f>IF(OR(data[[#This Row],[أسم العميل]]="اوسكار راتن",data[[#This Row],[أسم العميل]]="تاكى",data[[#This Row],[أسم العميل]]="شيك هومز"),"شركة","افراد")</f>
        <v>افراد</v>
      </c>
      <c r="C85" s="6" t="s">
        <v>96</v>
      </c>
      <c r="D85" s="6" t="s">
        <v>270</v>
      </c>
      <c r="E85" s="6" t="s">
        <v>5</v>
      </c>
      <c r="F85" s="6" t="s">
        <v>129</v>
      </c>
      <c r="G85" s="6" t="s">
        <v>141</v>
      </c>
      <c r="H85" s="6" t="s">
        <v>134</v>
      </c>
      <c r="I85" s="9">
        <v>120</v>
      </c>
      <c r="J85" s="6" t="s">
        <v>148</v>
      </c>
      <c r="K85" s="6" t="s">
        <v>246</v>
      </c>
      <c r="L85" s="6" t="s">
        <v>97</v>
      </c>
      <c r="M85" s="14">
        <v>12999</v>
      </c>
      <c r="N85" s="15" t="s">
        <v>98</v>
      </c>
      <c r="O85" s="16">
        <v>45549</v>
      </c>
      <c r="P85" s="39" t="str">
        <f>TEXT(data[[#This Row],[ميعاد الطلب]], "mmmm")</f>
        <v>September</v>
      </c>
      <c r="Q85" s="16">
        <v>45616</v>
      </c>
      <c r="R85" s="16">
        <v>45582</v>
      </c>
      <c r="S85" s="8" t="str" cm="1">
        <f t="array" ref="S85">_xlfn.IFS(
OR(data[[#This Row],[تاريخ التسليم]]="-",data[[#This Row],[ميعاد التسليم]]="-"),"غير محدد",
data[[#This Row],[ميعاد التسليم]] &lt;= data[[#This Row],[تاريخ التسليم]],"في الموعد",
TRUE,"متأخر"
)</f>
        <v>متأخر</v>
      </c>
      <c r="T85" s="3" t="s">
        <v>301</v>
      </c>
      <c r="U85" s="3" t="s">
        <v>164</v>
      </c>
      <c r="V85" s="8" t="str">
        <f>TRIM(data[[#This Row],[المسئول عن التسليم]])</f>
        <v>شركه شحن</v>
      </c>
    </row>
    <row r="86" spans="1:22" ht="20.100000000000001" customHeight="1" x14ac:dyDescent="0.3">
      <c r="A86" s="6" t="s">
        <v>99</v>
      </c>
      <c r="B86" s="4" t="str">
        <f>IF(OR(data[[#This Row],[أسم العميل]]="اوسكار راتن",data[[#This Row],[أسم العميل]]="تاكى",data[[#This Row],[أسم العميل]]="شيك هومز"),"شركة","افراد")</f>
        <v>افراد</v>
      </c>
      <c r="C86" s="6" t="s">
        <v>100</v>
      </c>
      <c r="D86" s="13" t="s">
        <v>263</v>
      </c>
      <c r="E86" s="4" t="s">
        <v>5</v>
      </c>
      <c r="F86" s="4" t="s">
        <v>142</v>
      </c>
      <c r="G86" s="6" t="s">
        <v>140</v>
      </c>
      <c r="H86" s="9" t="s">
        <v>246</v>
      </c>
      <c r="I86" s="9" t="s">
        <v>246</v>
      </c>
      <c r="J86" s="4" t="s">
        <v>144</v>
      </c>
      <c r="K86" s="4" t="s">
        <v>148</v>
      </c>
      <c r="L86" s="6" t="s">
        <v>88</v>
      </c>
      <c r="M86" s="9">
        <v>21999</v>
      </c>
      <c r="N86" s="15" t="s">
        <v>12</v>
      </c>
      <c r="O86" s="16">
        <v>45549</v>
      </c>
      <c r="P86" s="39" t="str">
        <f>TEXT(data[[#This Row],[ميعاد الطلب]], "mmmm")</f>
        <v>September</v>
      </c>
      <c r="Q86" s="11">
        <v>45616</v>
      </c>
      <c r="R86" s="6" t="s">
        <v>267</v>
      </c>
      <c r="S86" s="8" t="str" cm="1">
        <f t="array" ref="S86">_xlfn.IFS(
OR(data[[#This Row],[تاريخ التسليم]]="-",data[[#This Row],[ميعاد التسليم]]="-"),"غير محدد",
data[[#This Row],[ميعاد التسليم]] &lt;= data[[#This Row],[تاريخ التسليم]],"في الموعد",
TRUE,"متأخر"
)</f>
        <v>غير محدد</v>
      </c>
      <c r="T86" s="3" t="s">
        <v>162</v>
      </c>
      <c r="U86" s="3" t="s">
        <v>162</v>
      </c>
      <c r="V86" s="8" t="str">
        <f>TRIM(data[[#This Row],[المسئول عن التسليم]])</f>
        <v>فشل التسليم</v>
      </c>
    </row>
    <row r="87" spans="1:22" ht="20.100000000000001" hidden="1" customHeight="1" x14ac:dyDescent="0.3">
      <c r="A87" s="6" t="s">
        <v>108</v>
      </c>
      <c r="B87" s="4" t="str">
        <f>IF(OR(data[[#This Row],[أسم العميل]]="اوسكار راتن",data[[#This Row],[أسم العميل]]="تاكى",data[[#This Row],[أسم العميل]]="شيك هومز"),"شركة","افراد")</f>
        <v>افراد</v>
      </c>
      <c r="C87" s="6" t="s">
        <v>73</v>
      </c>
      <c r="D87" s="6" t="s">
        <v>253</v>
      </c>
      <c r="E87" s="4" t="s">
        <v>5</v>
      </c>
      <c r="F87" s="4" t="s">
        <v>129</v>
      </c>
      <c r="G87" s="6" t="s">
        <v>141</v>
      </c>
      <c r="H87" s="13" t="s">
        <v>131</v>
      </c>
      <c r="I87" s="14">
        <v>100</v>
      </c>
      <c r="J87" s="13" t="s">
        <v>148</v>
      </c>
      <c r="K87" s="4" t="s">
        <v>246</v>
      </c>
      <c r="L87" s="6" t="s">
        <v>109</v>
      </c>
      <c r="M87" s="14">
        <v>12399</v>
      </c>
      <c r="N87" s="10" t="s">
        <v>12</v>
      </c>
      <c r="O87" s="16">
        <v>45549</v>
      </c>
      <c r="P87" s="39" t="str">
        <f>TEXT(data[[#This Row],[ميعاد الطلب]], "mmmm")</f>
        <v>September</v>
      </c>
      <c r="Q87" s="16">
        <v>45616</v>
      </c>
      <c r="R87" s="11">
        <v>45566</v>
      </c>
      <c r="S87" s="8" t="str" cm="1">
        <f t="array" ref="S87">_xlfn.IFS(
OR(data[[#This Row],[تاريخ التسليم]]="-",data[[#This Row],[ميعاد التسليم]]="-"),"غير محدد",
data[[#This Row],[ميعاد التسليم]] &lt;= data[[#This Row],[تاريخ التسليم]],"في الموعد",
TRUE,"متأخر"
)</f>
        <v>متأخر</v>
      </c>
      <c r="T87" s="3" t="s">
        <v>301</v>
      </c>
      <c r="U87" s="3" t="s">
        <v>164</v>
      </c>
      <c r="V87" s="8" t="str">
        <f>TRIM(data[[#This Row],[المسئول عن التسليم]])</f>
        <v>شركه شحن</v>
      </c>
    </row>
    <row r="88" spans="1:22" ht="20.100000000000001" customHeight="1" x14ac:dyDescent="0.3">
      <c r="A88" s="6" t="s">
        <v>115</v>
      </c>
      <c r="B88" s="4" t="str">
        <f>IF(OR(data[[#This Row],[أسم العميل]]="اوسكار راتن",data[[#This Row],[أسم العميل]]="تاكى",data[[#This Row],[أسم العميل]]="شيك هومز"),"شركة","افراد")</f>
        <v>افراد</v>
      </c>
      <c r="C88" s="6" t="s">
        <v>55</v>
      </c>
      <c r="D88" s="6" t="s">
        <v>253</v>
      </c>
      <c r="E88" s="4" t="s">
        <v>5</v>
      </c>
      <c r="F88" s="4" t="s">
        <v>142</v>
      </c>
      <c r="G88" s="13" t="s">
        <v>140</v>
      </c>
      <c r="H88" s="9" t="s">
        <v>246</v>
      </c>
      <c r="I88" s="9" t="s">
        <v>246</v>
      </c>
      <c r="J88" s="4" t="s">
        <v>144</v>
      </c>
      <c r="K88" s="4" t="s">
        <v>148</v>
      </c>
      <c r="L88" s="6" t="s">
        <v>88</v>
      </c>
      <c r="M88" s="14">
        <v>21999</v>
      </c>
      <c r="N88" s="10" t="s">
        <v>12</v>
      </c>
      <c r="O88" s="11">
        <v>45549</v>
      </c>
      <c r="P88" s="39" t="str">
        <f>TEXT(data[[#This Row],[ميعاد الطلب]], "mmmm")</f>
        <v>September</v>
      </c>
      <c r="Q88" s="11">
        <v>45616</v>
      </c>
      <c r="R88" s="11">
        <v>45574</v>
      </c>
      <c r="S88" s="8" t="str" cm="1">
        <f t="array" ref="S88">_xlfn.IFS(
OR(data[[#This Row],[تاريخ التسليم]]="-",data[[#This Row],[ميعاد التسليم]]="-"),"غير محدد",
data[[#This Row],[ميعاد التسليم]] &lt;= data[[#This Row],[تاريخ التسليم]],"في الموعد",
TRUE,"متأخر"
)</f>
        <v>متأخر</v>
      </c>
      <c r="T88" s="3" t="s">
        <v>300</v>
      </c>
      <c r="U88" s="3" t="s">
        <v>164</v>
      </c>
      <c r="V88" s="8" t="str">
        <f>TRIM(data[[#This Row],[المسئول عن التسليم]])</f>
        <v>محمود على</v>
      </c>
    </row>
    <row r="89" spans="1:22" ht="20.100000000000001" hidden="1" customHeight="1" x14ac:dyDescent="0.3">
      <c r="A89" s="6" t="s">
        <v>118</v>
      </c>
      <c r="B89" s="4" t="str">
        <f>IF(OR(data[[#This Row],[أسم العميل]]="اوسكار راتن",data[[#This Row],[أسم العميل]]="تاكى",data[[#This Row],[أسم العميل]]="شيك هومز"),"شركة","افراد")</f>
        <v>افراد</v>
      </c>
      <c r="C89" s="6" t="s">
        <v>50</v>
      </c>
      <c r="D89" s="6" t="s">
        <v>253</v>
      </c>
      <c r="E89" s="6" t="s">
        <v>5</v>
      </c>
      <c r="F89" s="4" t="s">
        <v>129</v>
      </c>
      <c r="G89" s="6" t="s">
        <v>141</v>
      </c>
      <c r="H89" s="6" t="s">
        <v>131</v>
      </c>
      <c r="I89" s="9">
        <v>80</v>
      </c>
      <c r="J89" s="6" t="s">
        <v>143</v>
      </c>
      <c r="K89" s="6" t="s">
        <v>246</v>
      </c>
      <c r="L89" s="6" t="s">
        <v>119</v>
      </c>
      <c r="M89" s="9">
        <v>10999</v>
      </c>
      <c r="N89" s="10" t="s">
        <v>98</v>
      </c>
      <c r="O89" s="11">
        <v>45549</v>
      </c>
      <c r="P89" s="39" t="str">
        <f>TEXT(data[[#This Row],[ميعاد الطلب]], "mmmm")</f>
        <v>September</v>
      </c>
      <c r="Q89" s="11">
        <v>45616</v>
      </c>
      <c r="R89" s="11">
        <v>45581</v>
      </c>
      <c r="S89" s="8" t="str" cm="1">
        <f t="array" ref="S89">_xlfn.IFS(
OR(data[[#This Row],[تاريخ التسليم]]="-",data[[#This Row],[ميعاد التسليم]]="-"),"غير محدد",
data[[#This Row],[ميعاد التسليم]] &lt;= data[[#This Row],[تاريخ التسليم]],"في الموعد",
TRUE,"متأخر"
)</f>
        <v>متأخر</v>
      </c>
      <c r="T89" s="3" t="s">
        <v>300</v>
      </c>
      <c r="U89" s="3" t="s">
        <v>164</v>
      </c>
      <c r="V89" s="8" t="str">
        <f>TRIM(data[[#This Row],[المسئول عن التسليم]])</f>
        <v>محمود على</v>
      </c>
    </row>
    <row r="90" spans="1:22" ht="20.100000000000001" hidden="1" customHeight="1" x14ac:dyDescent="0.3">
      <c r="A90" s="18" t="s">
        <v>156</v>
      </c>
      <c r="B90" s="4" t="str">
        <f>IF(OR(data[[#This Row],[أسم العميل]]="اوسكار راتن",data[[#This Row],[أسم العميل]]="تاكى",data[[#This Row],[أسم العميل]]="شيك هومز"),"شركة","افراد")</f>
        <v>افراد</v>
      </c>
      <c r="C90" s="6" t="s">
        <v>240</v>
      </c>
      <c r="D90" s="6" t="s">
        <v>253</v>
      </c>
      <c r="E90" s="6" t="s">
        <v>5</v>
      </c>
      <c r="F90" s="4" t="s">
        <v>129</v>
      </c>
      <c r="G90" s="6" t="s">
        <v>141</v>
      </c>
      <c r="H90" s="6" t="s">
        <v>134</v>
      </c>
      <c r="I90" s="9">
        <v>80</v>
      </c>
      <c r="J90" s="6" t="s">
        <v>143</v>
      </c>
      <c r="K90" s="4" t="s">
        <v>246</v>
      </c>
      <c r="L90" s="6"/>
      <c r="M90" s="9">
        <v>10999</v>
      </c>
      <c r="N90" s="10" t="s">
        <v>98</v>
      </c>
      <c r="O90" s="11">
        <v>45550</v>
      </c>
      <c r="P90" s="39" t="str">
        <f>TEXT(data[[#This Row],[ميعاد الطلب]], "mmmm")</f>
        <v>September</v>
      </c>
      <c r="Q90" s="11">
        <v>45616</v>
      </c>
      <c r="R90" s="11">
        <v>45581</v>
      </c>
      <c r="S90" s="8" t="str" cm="1">
        <f t="array" ref="S90">_xlfn.IFS(
OR(data[[#This Row],[تاريخ التسليم]]="-",data[[#This Row],[ميعاد التسليم]]="-"),"غير محدد",
data[[#This Row],[ميعاد التسليم]] &lt;= data[[#This Row],[تاريخ التسليم]],"في الموعد",
TRUE,"متأخر"
)</f>
        <v>متأخر</v>
      </c>
      <c r="T90" s="3" t="s">
        <v>300</v>
      </c>
      <c r="U90" s="3" t="s">
        <v>164</v>
      </c>
      <c r="V90" s="8" t="str">
        <f>TRIM(data[[#This Row],[المسئول عن التسليم]])</f>
        <v>محمود على</v>
      </c>
    </row>
    <row r="91" spans="1:22" ht="20.100000000000001" hidden="1" customHeight="1" x14ac:dyDescent="0.3">
      <c r="A91" s="18" t="s">
        <v>156</v>
      </c>
      <c r="B91" s="4" t="str">
        <f>IF(OR(data[[#This Row],[أسم العميل]]="اوسكار راتن",data[[#This Row],[أسم العميل]]="تاكى",data[[#This Row],[أسم العميل]]="شيك هومز"),"شركة","افراد")</f>
        <v>افراد</v>
      </c>
      <c r="C91" s="6" t="s">
        <v>240</v>
      </c>
      <c r="D91" s="6" t="s">
        <v>253</v>
      </c>
      <c r="E91" s="6" t="s">
        <v>5</v>
      </c>
      <c r="F91" s="4" t="s">
        <v>129</v>
      </c>
      <c r="G91" s="6" t="s">
        <v>141</v>
      </c>
      <c r="H91" s="6" t="s">
        <v>134</v>
      </c>
      <c r="I91" s="9">
        <v>80</v>
      </c>
      <c r="J91" s="6" t="s">
        <v>143</v>
      </c>
      <c r="K91" s="4" t="s">
        <v>246</v>
      </c>
      <c r="L91" s="6"/>
      <c r="M91" s="9">
        <v>10999</v>
      </c>
      <c r="N91" s="10" t="s">
        <v>98</v>
      </c>
      <c r="O91" s="11">
        <v>45550</v>
      </c>
      <c r="P91" s="39" t="str">
        <f>TEXT(data[[#This Row],[ميعاد الطلب]], "mmmm")</f>
        <v>September</v>
      </c>
      <c r="Q91" s="11">
        <v>45616</v>
      </c>
      <c r="R91" s="11">
        <v>45581</v>
      </c>
      <c r="S91" s="8" t="str" cm="1">
        <f t="array" ref="S91">_xlfn.IFS(
OR(data[[#This Row],[تاريخ التسليم]]="-",data[[#This Row],[ميعاد التسليم]]="-"),"غير محدد",
data[[#This Row],[ميعاد التسليم]] &lt;= data[[#This Row],[تاريخ التسليم]],"في الموعد",
TRUE,"متأخر"
)</f>
        <v>متأخر</v>
      </c>
      <c r="T91" s="3" t="s">
        <v>300</v>
      </c>
      <c r="U91" s="3" t="s">
        <v>164</v>
      </c>
      <c r="V91" s="8" t="str">
        <f>TRIM(data[[#This Row],[المسئول عن التسليم]])</f>
        <v>محمود على</v>
      </c>
    </row>
    <row r="92" spans="1:22" ht="20.100000000000001" customHeight="1" x14ac:dyDescent="0.3">
      <c r="A92" s="18" t="s">
        <v>157</v>
      </c>
      <c r="B92" s="4" t="str">
        <f>IF(OR(data[[#This Row],[أسم العميل]]="اوسكار راتن",data[[#This Row],[أسم العميل]]="تاكى",data[[#This Row],[أسم العميل]]="شيك هومز"),"شركة","افراد")</f>
        <v>افراد</v>
      </c>
      <c r="C92" s="18" t="s">
        <v>241</v>
      </c>
      <c r="D92" s="6" t="s">
        <v>253</v>
      </c>
      <c r="E92" s="6" t="s">
        <v>5</v>
      </c>
      <c r="F92" s="4" t="s">
        <v>142</v>
      </c>
      <c r="G92" s="6" t="s">
        <v>140</v>
      </c>
      <c r="H92" s="9" t="s">
        <v>246</v>
      </c>
      <c r="I92" s="9" t="s">
        <v>246</v>
      </c>
      <c r="J92" s="4" t="s">
        <v>144</v>
      </c>
      <c r="K92" s="4" t="s">
        <v>148</v>
      </c>
      <c r="L92" s="6"/>
      <c r="M92" s="9">
        <v>21999</v>
      </c>
      <c r="N92" s="10" t="s">
        <v>98</v>
      </c>
      <c r="O92" s="11">
        <v>45550</v>
      </c>
      <c r="P92" s="39" t="str">
        <f>TEXT(data[[#This Row],[ميعاد الطلب]], "mmmm")</f>
        <v>September</v>
      </c>
      <c r="Q92" s="8">
        <v>45616</v>
      </c>
      <c r="R92" s="11">
        <v>45584</v>
      </c>
      <c r="S92" s="8" t="str" cm="1">
        <f t="array" ref="S92">_xlfn.IFS(
OR(data[[#This Row],[تاريخ التسليم]]="-",data[[#This Row],[ميعاد التسليم]]="-"),"غير محدد",
data[[#This Row],[ميعاد التسليم]] &lt;= data[[#This Row],[تاريخ التسليم]],"في الموعد",
TRUE,"متأخر"
)</f>
        <v>متأخر</v>
      </c>
      <c r="T92" s="3" t="s">
        <v>300</v>
      </c>
      <c r="U92" s="3" t="s">
        <v>164</v>
      </c>
      <c r="V92" s="8" t="str">
        <f>TRIM(data[[#This Row],[المسئول عن التسليم]])</f>
        <v>محمود على</v>
      </c>
    </row>
    <row r="93" spans="1:22" ht="20.100000000000001" hidden="1" customHeight="1" x14ac:dyDescent="0.3">
      <c r="A93" s="6" t="s">
        <v>201</v>
      </c>
      <c r="B93" s="4" t="str">
        <f>IF(OR(data[[#This Row],[أسم العميل]]="اوسكار راتن",data[[#This Row],[أسم العميل]]="تاكى",data[[#This Row],[أسم العميل]]="شيك هومز"),"شركة","افراد")</f>
        <v>افراد</v>
      </c>
      <c r="C93" s="6" t="s">
        <v>25</v>
      </c>
      <c r="D93" s="6" t="s">
        <v>253</v>
      </c>
      <c r="E93" s="4" t="s">
        <v>189</v>
      </c>
      <c r="F93" s="4" t="s">
        <v>129</v>
      </c>
      <c r="G93" s="6" t="s">
        <v>132</v>
      </c>
      <c r="H93" s="6" t="s">
        <v>152</v>
      </c>
      <c r="I93" s="9">
        <v>120</v>
      </c>
      <c r="J93" s="6" t="s">
        <v>143</v>
      </c>
      <c r="K93" s="4" t="s">
        <v>246</v>
      </c>
      <c r="L93" s="6"/>
      <c r="M93" s="9">
        <v>4520</v>
      </c>
      <c r="N93" s="10" t="s">
        <v>70</v>
      </c>
      <c r="O93" s="11">
        <v>45606</v>
      </c>
      <c r="P93" s="39" t="str">
        <f>TEXT(data[[#This Row],[ميعاد الطلب]], "mmmm")</f>
        <v>November</v>
      </c>
      <c r="Q93" s="11">
        <v>45618</v>
      </c>
      <c r="R93" s="11">
        <v>45617</v>
      </c>
      <c r="S93" s="8" t="str" cm="1">
        <f t="array" ref="S93">_xlfn.IFS(
OR(data[[#This Row],[تاريخ التسليم]]="-",data[[#This Row],[ميعاد التسليم]]="-"),"غير محدد",
data[[#This Row],[ميعاد التسليم]] &lt;= data[[#This Row],[تاريخ التسليم]],"في الموعد",
TRUE,"متأخر"
)</f>
        <v>متأخر</v>
      </c>
      <c r="T93" s="3" t="s">
        <v>300</v>
      </c>
      <c r="U93" s="3" t="s">
        <v>164</v>
      </c>
      <c r="V93" s="8" t="str">
        <f>TRIM(data[[#This Row],[المسئول عن التسليم]])</f>
        <v>محمود على</v>
      </c>
    </row>
    <row r="94" spans="1:22" ht="20.100000000000001" hidden="1" customHeight="1" x14ac:dyDescent="0.3">
      <c r="A94" s="6" t="s">
        <v>203</v>
      </c>
      <c r="B94" s="4" t="str">
        <f>IF(OR(data[[#This Row],[أسم العميل]]="اوسكار راتن",data[[#This Row],[أسم العميل]]="تاكى",data[[#This Row],[أسم العميل]]="شيك هومز"),"شركة","افراد")</f>
        <v>افراد</v>
      </c>
      <c r="C94" s="6" t="s">
        <v>240</v>
      </c>
      <c r="D94" s="6" t="s">
        <v>253</v>
      </c>
      <c r="E94" s="6" t="s">
        <v>5</v>
      </c>
      <c r="F94" s="6" t="s">
        <v>129</v>
      </c>
      <c r="G94" s="6" t="s">
        <v>132</v>
      </c>
      <c r="H94" s="6" t="s">
        <v>152</v>
      </c>
      <c r="I94" s="9">
        <v>160</v>
      </c>
      <c r="J94" s="6" t="s">
        <v>149</v>
      </c>
      <c r="K94" s="4" t="s">
        <v>246</v>
      </c>
      <c r="L94" s="6"/>
      <c r="M94" s="9">
        <v>11395</v>
      </c>
      <c r="N94" s="10" t="s">
        <v>12</v>
      </c>
      <c r="O94" s="11">
        <v>45608</v>
      </c>
      <c r="P94" s="39" t="str">
        <f>TEXT(data[[#This Row],[ميعاد الطلب]], "mmmm")</f>
        <v>November</v>
      </c>
      <c r="Q94" s="11">
        <v>45620</v>
      </c>
      <c r="R94" s="11">
        <v>45623</v>
      </c>
      <c r="S94" s="8" t="str" cm="1">
        <f t="array" ref="S94">_xlfn.IFS(
OR(data[[#This Row],[تاريخ التسليم]]="-",data[[#This Row],[ميعاد التسليم]]="-"),"غير محدد",
data[[#This Row],[ميعاد التسليم]] &lt;= data[[#This Row],[تاريخ التسليم]],"في الموعد",
TRUE,"متأخر"
)</f>
        <v>في الموعد</v>
      </c>
      <c r="T94" s="3" t="s">
        <v>300</v>
      </c>
      <c r="U94" s="3" t="s">
        <v>164</v>
      </c>
      <c r="V94" s="8" t="str">
        <f>TRIM(data[[#This Row],[المسئول عن التسليم]])</f>
        <v>محمود على</v>
      </c>
    </row>
    <row r="95" spans="1:22" ht="20.100000000000001" hidden="1" customHeight="1" x14ac:dyDescent="0.3">
      <c r="A95" s="6" t="s">
        <v>197</v>
      </c>
      <c r="B95" s="4" t="str">
        <f>IF(OR(data[[#This Row],[أسم العميل]]="اوسكار راتن",data[[#This Row],[أسم العميل]]="تاكى",data[[#This Row],[أسم العميل]]="شيك هومز"),"شركة","افراد")</f>
        <v>افراد</v>
      </c>
      <c r="C95" s="6" t="s">
        <v>202</v>
      </c>
      <c r="D95" s="6" t="s">
        <v>253</v>
      </c>
      <c r="E95" s="6" t="s">
        <v>5</v>
      </c>
      <c r="F95" s="4" t="s">
        <v>129</v>
      </c>
      <c r="G95" s="6" t="s">
        <v>141</v>
      </c>
      <c r="H95" s="6" t="s">
        <v>134</v>
      </c>
      <c r="I95" s="9">
        <v>80</v>
      </c>
      <c r="J95" s="6" t="s">
        <v>143</v>
      </c>
      <c r="K95" s="4" t="s">
        <v>246</v>
      </c>
      <c r="L95" s="6"/>
      <c r="M95" s="9">
        <v>12099</v>
      </c>
      <c r="N95" s="10" t="s">
        <v>12</v>
      </c>
      <c r="O95" s="11">
        <v>45607</v>
      </c>
      <c r="P95" s="39" t="str">
        <f>TEXT(data[[#This Row],[ميعاد الطلب]], "mmmm")</f>
        <v>November</v>
      </c>
      <c r="Q95" s="11">
        <v>45622</v>
      </c>
      <c r="R95" s="11">
        <v>45623</v>
      </c>
      <c r="S95" s="8" t="str" cm="1">
        <f t="array" ref="S95">_xlfn.IFS(
OR(data[[#This Row],[تاريخ التسليم]]="-",data[[#This Row],[ميعاد التسليم]]="-"),"غير محدد",
data[[#This Row],[ميعاد التسليم]] &lt;= data[[#This Row],[تاريخ التسليم]],"في الموعد",
TRUE,"متأخر"
)</f>
        <v>في الموعد</v>
      </c>
      <c r="T95" s="3" t="s">
        <v>300</v>
      </c>
      <c r="U95" s="3" t="s">
        <v>164</v>
      </c>
      <c r="V95" s="8" t="str">
        <f>TRIM(data[[#This Row],[المسئول عن التسليم]])</f>
        <v>محمود على</v>
      </c>
    </row>
    <row r="96" spans="1:22" ht="20.100000000000001" customHeight="1" x14ac:dyDescent="0.3">
      <c r="A96" s="6" t="s">
        <v>68</v>
      </c>
      <c r="B96" s="4" t="str">
        <f>IF(OR(data[[#This Row],[أسم العميل]]="اوسكار راتن",data[[#This Row],[أسم العميل]]="تاكى",data[[#This Row],[أسم العميل]]="شيك هومز"),"شركة","افراد")</f>
        <v>شركة</v>
      </c>
      <c r="C96" s="6" t="s">
        <v>165</v>
      </c>
      <c r="D96" s="6" t="s">
        <v>254</v>
      </c>
      <c r="E96" s="4" t="s">
        <v>44</v>
      </c>
      <c r="F96" s="4" t="s">
        <v>129</v>
      </c>
      <c r="G96" s="6" t="s">
        <v>141</v>
      </c>
      <c r="H96" s="6" t="s">
        <v>133</v>
      </c>
      <c r="I96" s="9">
        <v>90</v>
      </c>
      <c r="J96" s="4" t="s">
        <v>144</v>
      </c>
      <c r="K96" s="4" t="s">
        <v>246</v>
      </c>
      <c r="L96" s="6"/>
      <c r="M96" s="9">
        <v>5766</v>
      </c>
      <c r="N96" s="10" t="s">
        <v>70</v>
      </c>
      <c r="O96" s="11">
        <v>45608</v>
      </c>
      <c r="P96" s="39" t="str">
        <f>TEXT(data[[#This Row],[ميعاد الطلب]], "mmmm")</f>
        <v>November</v>
      </c>
      <c r="Q96" s="11">
        <v>45622</v>
      </c>
      <c r="R96" s="11">
        <v>45621</v>
      </c>
      <c r="S96" s="8" t="str" cm="1">
        <f t="array" ref="S96">_xlfn.IFS(
OR(data[[#This Row],[تاريخ التسليم]]="-",data[[#This Row],[ميعاد التسليم]]="-"),"غير محدد",
data[[#This Row],[ميعاد التسليم]] &lt;= data[[#This Row],[تاريخ التسليم]],"في الموعد",
TRUE,"متأخر"
)</f>
        <v>متأخر</v>
      </c>
      <c r="T96" s="3" t="s">
        <v>300</v>
      </c>
      <c r="U96" s="3" t="s">
        <v>164</v>
      </c>
      <c r="V96" s="8" t="str">
        <f>TRIM(data[[#This Row],[المسئول عن التسليم]])</f>
        <v>محمود على</v>
      </c>
    </row>
    <row r="97" spans="1:22" ht="20.100000000000001" hidden="1" customHeight="1" x14ac:dyDescent="0.3">
      <c r="A97" s="6" t="s">
        <v>68</v>
      </c>
      <c r="B97" s="4" t="str">
        <f>IF(OR(data[[#This Row],[أسم العميل]]="اوسكار راتن",data[[#This Row],[أسم العميل]]="تاكى",data[[#This Row],[أسم العميل]]="شيك هومز"),"شركة","افراد")</f>
        <v>شركة</v>
      </c>
      <c r="C97" s="6" t="s">
        <v>165</v>
      </c>
      <c r="D97" s="6" t="s">
        <v>254</v>
      </c>
      <c r="E97" s="4" t="s">
        <v>44</v>
      </c>
      <c r="F97" s="4" t="s">
        <v>129</v>
      </c>
      <c r="G97" s="6" t="s">
        <v>141</v>
      </c>
      <c r="H97" s="6" t="s">
        <v>131</v>
      </c>
      <c r="I97" s="9">
        <v>120</v>
      </c>
      <c r="J97" s="6" t="s">
        <v>148</v>
      </c>
      <c r="K97" s="4" t="s">
        <v>246</v>
      </c>
      <c r="L97" s="6"/>
      <c r="M97" s="9">
        <v>6376</v>
      </c>
      <c r="N97" s="10" t="s">
        <v>70</v>
      </c>
      <c r="O97" s="11">
        <v>45610</v>
      </c>
      <c r="P97" s="39" t="str">
        <f>TEXT(data[[#This Row],[ميعاد الطلب]], "mmmm")</f>
        <v>November</v>
      </c>
      <c r="Q97" s="11">
        <v>45623</v>
      </c>
      <c r="R97" s="11">
        <v>45621</v>
      </c>
      <c r="S97" s="8" t="str" cm="1">
        <f t="array" ref="S97">_xlfn.IFS(
OR(data[[#This Row],[تاريخ التسليم]]="-",data[[#This Row],[ميعاد التسليم]]="-"),"غير محدد",
data[[#This Row],[ميعاد التسليم]] &lt;= data[[#This Row],[تاريخ التسليم]],"في الموعد",
TRUE,"متأخر"
)</f>
        <v>متأخر</v>
      </c>
      <c r="T97" s="3" t="s">
        <v>300</v>
      </c>
      <c r="U97" s="3" t="s">
        <v>164</v>
      </c>
      <c r="V97" s="8" t="str">
        <f>TRIM(data[[#This Row],[المسئول عن التسليم]])</f>
        <v>محمود على</v>
      </c>
    </row>
    <row r="98" spans="1:22" ht="20.100000000000001" customHeight="1" x14ac:dyDescent="0.3">
      <c r="A98" s="6" t="s">
        <v>68</v>
      </c>
      <c r="B98" s="4" t="str">
        <f>IF(OR(data[[#This Row],[أسم العميل]]="اوسكار راتن",data[[#This Row],[أسم العميل]]="تاكى",data[[#This Row],[أسم العميل]]="شيك هومز"),"شركة","افراد")</f>
        <v>شركة</v>
      </c>
      <c r="C98" s="6" t="s">
        <v>165</v>
      </c>
      <c r="D98" s="6" t="s">
        <v>254</v>
      </c>
      <c r="E98" s="4" t="s">
        <v>44</v>
      </c>
      <c r="F98" s="4" t="s">
        <v>129</v>
      </c>
      <c r="G98" s="6" t="s">
        <v>206</v>
      </c>
      <c r="H98" s="6" t="s">
        <v>131</v>
      </c>
      <c r="I98" s="9">
        <v>90</v>
      </c>
      <c r="J98" s="4" t="s">
        <v>144</v>
      </c>
      <c r="K98" s="4" t="s">
        <v>246</v>
      </c>
      <c r="L98" s="6"/>
      <c r="M98" s="9">
        <v>5294</v>
      </c>
      <c r="N98" s="10" t="s">
        <v>70</v>
      </c>
      <c r="O98" s="11">
        <v>45610</v>
      </c>
      <c r="P98" s="39" t="str">
        <f>TEXT(data[[#This Row],[ميعاد الطلب]], "mmmm")</f>
        <v>November</v>
      </c>
      <c r="Q98" s="11">
        <v>45623</v>
      </c>
      <c r="R98" s="11">
        <v>45621</v>
      </c>
      <c r="S98" s="8" t="str" cm="1">
        <f t="array" ref="S98">_xlfn.IFS(
OR(data[[#This Row],[تاريخ التسليم]]="-",data[[#This Row],[ميعاد التسليم]]="-"),"غير محدد",
data[[#This Row],[ميعاد التسليم]] &lt;= data[[#This Row],[تاريخ التسليم]],"في الموعد",
TRUE,"متأخر"
)</f>
        <v>متأخر</v>
      </c>
      <c r="T98" s="3" t="s">
        <v>300</v>
      </c>
      <c r="U98" s="3" t="s">
        <v>164</v>
      </c>
      <c r="V98" s="8" t="str">
        <f>TRIM(data[[#This Row],[المسئول عن التسليم]])</f>
        <v>محمود على</v>
      </c>
    </row>
    <row r="99" spans="1:22" ht="20.100000000000001" hidden="1" customHeight="1" x14ac:dyDescent="0.3">
      <c r="A99" s="6" t="s">
        <v>207</v>
      </c>
      <c r="B99" s="4" t="str">
        <f>IF(OR(data[[#This Row],[أسم العميل]]="اوسكار راتن",data[[#This Row],[أسم العميل]]="تاكى",data[[#This Row],[أسم العميل]]="شيك هومز"),"شركة","افراد")</f>
        <v>افراد</v>
      </c>
      <c r="C99" s="6" t="s">
        <v>256</v>
      </c>
      <c r="D99" s="6" t="s">
        <v>257</v>
      </c>
      <c r="E99" s="4" t="s">
        <v>208</v>
      </c>
      <c r="F99" s="4" t="s">
        <v>129</v>
      </c>
      <c r="G99" s="6" t="s">
        <v>206</v>
      </c>
      <c r="H99" s="6" t="s">
        <v>209</v>
      </c>
      <c r="I99" s="9">
        <v>80</v>
      </c>
      <c r="J99" s="6" t="s">
        <v>143</v>
      </c>
      <c r="K99" s="4" t="s">
        <v>246</v>
      </c>
      <c r="L99" s="6"/>
      <c r="M99" s="9">
        <v>7396</v>
      </c>
      <c r="N99" s="10" t="s">
        <v>12</v>
      </c>
      <c r="O99" s="11">
        <v>45613</v>
      </c>
      <c r="P99" s="39" t="str">
        <f>TEXT(data[[#This Row],[ميعاد الطلب]], "mmmm")</f>
        <v>November</v>
      </c>
      <c r="Q99" s="11">
        <v>45624</v>
      </c>
      <c r="R99" s="11">
        <v>45622</v>
      </c>
      <c r="S99" s="8" t="str" cm="1">
        <f t="array" ref="S99">_xlfn.IFS(
OR(data[[#This Row],[تاريخ التسليم]]="-",data[[#This Row],[ميعاد التسليم]]="-"),"غير محدد",
data[[#This Row],[ميعاد التسليم]] &lt;= data[[#This Row],[تاريخ التسليم]],"في الموعد",
TRUE,"متأخر"
)</f>
        <v>متأخر</v>
      </c>
      <c r="T99" s="3" t="s">
        <v>300</v>
      </c>
      <c r="U99" s="3" t="s">
        <v>164</v>
      </c>
      <c r="V99" s="8" t="str">
        <f>TRIM(data[[#This Row],[المسئول عن التسليم]])</f>
        <v>محمود على</v>
      </c>
    </row>
    <row r="100" spans="1:22" ht="20.100000000000001" hidden="1" customHeight="1" x14ac:dyDescent="0.3">
      <c r="A100" s="6" t="s">
        <v>204</v>
      </c>
      <c r="B100" s="4" t="str">
        <f>IF(OR(data[[#This Row],[أسم العميل]]="اوسكار راتن",data[[#This Row],[أسم العميل]]="تاكى",data[[#This Row],[أسم العميل]]="شيك هومز"),"شركة","افراد")</f>
        <v>افراد</v>
      </c>
      <c r="C100" s="6" t="s">
        <v>25</v>
      </c>
      <c r="D100" s="6" t="s">
        <v>253</v>
      </c>
      <c r="E100" s="4" t="s">
        <v>5</v>
      </c>
      <c r="F100" s="4" t="s">
        <v>129</v>
      </c>
      <c r="G100" s="6" t="s">
        <v>141</v>
      </c>
      <c r="H100" s="6" t="s">
        <v>205</v>
      </c>
      <c r="I100" s="9">
        <v>80</v>
      </c>
      <c r="J100" s="6" t="s">
        <v>143</v>
      </c>
      <c r="K100" s="4" t="s">
        <v>246</v>
      </c>
      <c r="L100" s="6"/>
      <c r="M100" s="9">
        <v>12919</v>
      </c>
      <c r="N100" s="10" t="s">
        <v>12</v>
      </c>
      <c r="O100" s="11">
        <v>45610</v>
      </c>
      <c r="P100" s="39" t="str">
        <f>TEXT(data[[#This Row],[ميعاد الطلب]], "mmmm")</f>
        <v>November</v>
      </c>
      <c r="Q100" s="11">
        <v>45626</v>
      </c>
      <c r="R100" s="11">
        <v>45623</v>
      </c>
      <c r="S100" s="8" t="str" cm="1">
        <f t="array" ref="S100">_xlfn.IFS(
OR(data[[#This Row],[تاريخ التسليم]]="-",data[[#This Row],[ميعاد التسليم]]="-"),"غير محدد",
data[[#This Row],[ميعاد التسليم]] &lt;= data[[#This Row],[تاريخ التسليم]],"في الموعد",
TRUE,"متأخر"
)</f>
        <v>متأخر</v>
      </c>
      <c r="T100" s="3" t="s">
        <v>300</v>
      </c>
      <c r="U100" s="3" t="s">
        <v>164</v>
      </c>
      <c r="V100" s="8" t="str">
        <f>TRIM(data[[#This Row],[المسئول عن التسليم]])</f>
        <v>محمود على</v>
      </c>
    </row>
    <row r="101" spans="1:22" ht="20.100000000000001" hidden="1" customHeight="1" x14ac:dyDescent="0.3">
      <c r="A101" s="6" t="s">
        <v>212</v>
      </c>
      <c r="B101" s="4" t="str">
        <f>IF(OR(data[[#This Row],[أسم العميل]]="اوسكار راتن",data[[#This Row],[أسم العميل]]="تاكى",data[[#This Row],[أسم العميل]]="شيك هومز"),"شركة","افراد")</f>
        <v>افراد</v>
      </c>
      <c r="C101" s="6" t="s">
        <v>38</v>
      </c>
      <c r="D101" s="6" t="s">
        <v>253</v>
      </c>
      <c r="E101" s="13" t="s">
        <v>26</v>
      </c>
      <c r="F101" s="6" t="s">
        <v>129</v>
      </c>
      <c r="G101" s="6" t="s">
        <v>132</v>
      </c>
      <c r="H101" s="6" t="s">
        <v>213</v>
      </c>
      <c r="I101" s="9">
        <v>160</v>
      </c>
      <c r="J101" s="6" t="s">
        <v>151</v>
      </c>
      <c r="K101" s="6" t="s">
        <v>143</v>
      </c>
      <c r="L101" s="6"/>
      <c r="M101" s="9">
        <v>6000</v>
      </c>
      <c r="N101" s="10">
        <v>5800</v>
      </c>
      <c r="O101" s="11">
        <v>45618</v>
      </c>
      <c r="P101" s="39" t="str">
        <f>TEXT(data[[#This Row],[ميعاد الطلب]], "mmmm")</f>
        <v>November</v>
      </c>
      <c r="Q101" s="11">
        <v>45628</v>
      </c>
      <c r="R101" s="11">
        <v>45623</v>
      </c>
      <c r="S101" s="8" t="str" cm="1">
        <f t="array" ref="S101">_xlfn.IFS(
OR(data[[#This Row],[تاريخ التسليم]]="-",data[[#This Row],[ميعاد التسليم]]="-"),"غير محدد",
data[[#This Row],[ميعاد التسليم]] &lt;= data[[#This Row],[تاريخ التسليم]],"في الموعد",
TRUE,"متأخر"
)</f>
        <v>متأخر</v>
      </c>
      <c r="T101" s="3" t="s">
        <v>300</v>
      </c>
      <c r="U101" s="3" t="s">
        <v>164</v>
      </c>
      <c r="V101" s="8" t="str">
        <f>TRIM(data[[#This Row],[المسئول عن التسليم]])</f>
        <v>محمود على</v>
      </c>
    </row>
    <row r="102" spans="1:22" ht="20.100000000000001" customHeight="1" x14ac:dyDescent="0.3">
      <c r="A102" s="6" t="s">
        <v>113</v>
      </c>
      <c r="B102" s="4" t="str">
        <f>IF(OR(data[[#This Row],[أسم العميل]]="اوسكار راتن",data[[#This Row],[أسم العميل]]="تاكى",data[[#This Row],[أسم العميل]]="شيك هومز"),"شركة","افراد")</f>
        <v>افراد</v>
      </c>
      <c r="C102" s="6" t="s">
        <v>256</v>
      </c>
      <c r="D102" s="6" t="s">
        <v>257</v>
      </c>
      <c r="E102" s="6" t="s">
        <v>5</v>
      </c>
      <c r="F102" s="4" t="s">
        <v>129</v>
      </c>
      <c r="G102" s="6" t="s">
        <v>141</v>
      </c>
      <c r="H102" s="6" t="s">
        <v>133</v>
      </c>
      <c r="I102" s="9">
        <v>90</v>
      </c>
      <c r="J102" s="4" t="s">
        <v>144</v>
      </c>
      <c r="K102" s="4" t="s">
        <v>246</v>
      </c>
      <c r="L102" s="6"/>
      <c r="M102" s="9">
        <v>13439</v>
      </c>
      <c r="N102" s="10">
        <v>13575</v>
      </c>
      <c r="O102" s="11">
        <v>45616</v>
      </c>
      <c r="P102" s="39" t="str">
        <f>TEXT(data[[#This Row],[ميعاد الطلب]], "mmmm")</f>
        <v>November</v>
      </c>
      <c r="Q102" s="11">
        <v>45631</v>
      </c>
      <c r="R102" s="11">
        <v>45622</v>
      </c>
      <c r="S102" s="8" t="str" cm="1">
        <f t="array" ref="S102">_xlfn.IFS(
OR(data[[#This Row],[تاريخ التسليم]]="-",data[[#This Row],[ميعاد التسليم]]="-"),"غير محدد",
data[[#This Row],[ميعاد التسليم]] &lt;= data[[#This Row],[تاريخ التسليم]],"في الموعد",
TRUE,"متأخر"
)</f>
        <v>متأخر</v>
      </c>
      <c r="T102" s="3" t="s">
        <v>300</v>
      </c>
      <c r="U102" s="3" t="s">
        <v>164</v>
      </c>
      <c r="V102" s="8" t="str">
        <f>TRIM(data[[#This Row],[المسئول عن التسليم]])</f>
        <v>محمود على</v>
      </c>
    </row>
    <row r="103" spans="1:22" ht="20.100000000000001" hidden="1" customHeight="1" x14ac:dyDescent="0.3">
      <c r="A103" s="6" t="s">
        <v>214</v>
      </c>
      <c r="B103" s="4" t="str">
        <f>IF(OR(data[[#This Row],[أسم العميل]]="اوسكار راتن",data[[#This Row],[أسم العميل]]="تاكى",data[[#This Row],[أسم العميل]]="شيك هومز"),"شركة","افراد")</f>
        <v>افراد</v>
      </c>
      <c r="C103" s="6" t="s">
        <v>215</v>
      </c>
      <c r="D103" s="6" t="s">
        <v>253</v>
      </c>
      <c r="E103" s="6" t="s">
        <v>5</v>
      </c>
      <c r="F103" s="4" t="s">
        <v>129</v>
      </c>
      <c r="G103" s="6" t="s">
        <v>210</v>
      </c>
      <c r="H103" s="6" t="s">
        <v>216</v>
      </c>
      <c r="I103" s="9">
        <v>120</v>
      </c>
      <c r="J103" s="6" t="s">
        <v>148</v>
      </c>
      <c r="K103" s="4" t="s">
        <v>246</v>
      </c>
      <c r="L103" s="6"/>
      <c r="M103" s="9">
        <v>10885</v>
      </c>
      <c r="N103" s="10">
        <v>7965</v>
      </c>
      <c r="O103" s="11">
        <v>45620</v>
      </c>
      <c r="P103" s="39" t="str">
        <f>TEXT(data[[#This Row],[ميعاد الطلب]], "mmmm")</f>
        <v>November</v>
      </c>
      <c r="Q103" s="11">
        <v>45631</v>
      </c>
      <c r="R103" s="11">
        <v>45636</v>
      </c>
      <c r="S103" s="8" t="str" cm="1">
        <f t="array" ref="S103">_xlfn.IFS(
OR(data[[#This Row],[تاريخ التسليم]]="-",data[[#This Row],[ميعاد التسليم]]="-"),"غير محدد",
data[[#This Row],[ميعاد التسليم]] &lt;= data[[#This Row],[تاريخ التسليم]],"في الموعد",
TRUE,"متأخر"
)</f>
        <v>في الموعد</v>
      </c>
      <c r="T103" s="3" t="s">
        <v>300</v>
      </c>
      <c r="U103" s="3" t="s">
        <v>164</v>
      </c>
      <c r="V103" s="8" t="str">
        <f>TRIM(data[[#This Row],[المسئول عن التسليم]])</f>
        <v>محمود على</v>
      </c>
    </row>
    <row r="104" spans="1:22" ht="20.100000000000001" hidden="1" customHeight="1" x14ac:dyDescent="0.3">
      <c r="A104" s="6" t="s">
        <v>32</v>
      </c>
      <c r="B104" s="4" t="str">
        <f>IF(OR(data[[#This Row],[أسم العميل]]="اوسكار راتن",data[[#This Row],[أسم العميل]]="تاكى",data[[#This Row],[أسم العميل]]="شيك هومز"),"شركة","افراد")</f>
        <v>شركة</v>
      </c>
      <c r="C104" s="6" t="s">
        <v>35</v>
      </c>
      <c r="D104" s="6" t="s">
        <v>253</v>
      </c>
      <c r="E104" s="4" t="s">
        <v>32</v>
      </c>
      <c r="F104" s="4" t="s">
        <v>142</v>
      </c>
      <c r="G104" s="6" t="s">
        <v>217</v>
      </c>
      <c r="H104" s="6" t="s">
        <v>217</v>
      </c>
      <c r="I104" s="6" t="s">
        <v>246</v>
      </c>
      <c r="J104" s="6" t="s">
        <v>246</v>
      </c>
      <c r="K104" s="4" t="s">
        <v>246</v>
      </c>
      <c r="L104" s="6"/>
      <c r="M104" s="9">
        <v>6000</v>
      </c>
      <c r="N104" s="10">
        <v>6000</v>
      </c>
      <c r="O104" s="11">
        <v>45615</v>
      </c>
      <c r="P104" s="39" t="str">
        <f>TEXT(data[[#This Row],[ميعاد الطلب]], "mmmm")</f>
        <v>November</v>
      </c>
      <c r="Q104" s="11">
        <v>45631</v>
      </c>
      <c r="R104" s="11">
        <v>45616</v>
      </c>
      <c r="S104" s="8" t="str" cm="1">
        <f t="array" ref="S104">_xlfn.IFS(
OR(data[[#This Row],[تاريخ التسليم]]="-",data[[#This Row],[ميعاد التسليم]]="-"),"غير محدد",
data[[#This Row],[ميعاد التسليم]] &lt;= data[[#This Row],[تاريخ التسليم]],"في الموعد",
TRUE,"متأخر"
)</f>
        <v>متأخر</v>
      </c>
      <c r="T104" s="3" t="s">
        <v>303</v>
      </c>
      <c r="U104" s="3" t="s">
        <v>164</v>
      </c>
      <c r="V104" s="8" t="str">
        <f>TRIM(data[[#This Row],[المسئول عن التسليم]])</f>
        <v>م محمد</v>
      </c>
    </row>
    <row r="105" spans="1:22" ht="20.100000000000001" customHeight="1" x14ac:dyDescent="0.3">
      <c r="A105" s="6" t="s">
        <v>32</v>
      </c>
      <c r="B105" s="4" t="str">
        <f>IF(OR(data[[#This Row],[أسم العميل]]="اوسكار راتن",data[[#This Row],[أسم العميل]]="تاكى",data[[#This Row],[أسم العميل]]="شيك هومز"),"شركة","افراد")</f>
        <v>شركة</v>
      </c>
      <c r="C105" s="6" t="s">
        <v>35</v>
      </c>
      <c r="D105" s="6" t="s">
        <v>253</v>
      </c>
      <c r="E105" s="4" t="s">
        <v>32</v>
      </c>
      <c r="F105" s="4" t="s">
        <v>129</v>
      </c>
      <c r="G105" s="6" t="s">
        <v>210</v>
      </c>
      <c r="H105" s="6" t="s">
        <v>211</v>
      </c>
      <c r="I105" s="9">
        <v>160</v>
      </c>
      <c r="J105" s="4" t="s">
        <v>144</v>
      </c>
      <c r="K105" s="4" t="s">
        <v>246</v>
      </c>
      <c r="L105" s="6"/>
      <c r="M105" s="9">
        <v>5100</v>
      </c>
      <c r="N105" s="10" t="s">
        <v>70</v>
      </c>
      <c r="O105" s="11">
        <v>45610</v>
      </c>
      <c r="P105" s="39" t="str">
        <f>TEXT(data[[#This Row],[ميعاد الطلب]], "mmmm")</f>
        <v>November</v>
      </c>
      <c r="Q105" s="11">
        <v>45634</v>
      </c>
      <c r="R105" s="6" t="s">
        <v>267</v>
      </c>
      <c r="S105" s="8" t="str" cm="1">
        <f t="array" ref="S105">_xlfn.IFS(
OR(data[[#This Row],[تاريخ التسليم]]="-",data[[#This Row],[ميعاد التسليم]]="-"),"غير محدد",
data[[#This Row],[ميعاد التسليم]] &lt;= data[[#This Row],[تاريخ التسليم]],"في الموعد",
TRUE,"متأخر"
)</f>
        <v>غير محدد</v>
      </c>
      <c r="T105" s="3" t="s">
        <v>246</v>
      </c>
      <c r="U105" s="3" t="s">
        <v>246</v>
      </c>
      <c r="V105" s="8" t="str">
        <f>TRIM(data[[#This Row],[المسئول عن التسليم]])</f>
        <v>غير محدد</v>
      </c>
    </row>
    <row r="106" spans="1:22" ht="20.100000000000001" hidden="1" customHeight="1" x14ac:dyDescent="0.3">
      <c r="A106" s="6" t="s">
        <v>218</v>
      </c>
      <c r="B106" s="4" t="str">
        <f>IF(OR(data[[#This Row],[أسم العميل]]="اوسكار راتن",data[[#This Row],[أسم العميل]]="تاكى",data[[#This Row],[أسم العميل]]="شيك هومز"),"شركة","افراد")</f>
        <v>افراد</v>
      </c>
      <c r="C106" s="6" t="s">
        <v>269</v>
      </c>
      <c r="D106" s="6" t="s">
        <v>261</v>
      </c>
      <c r="E106" s="6" t="s">
        <v>5</v>
      </c>
      <c r="F106" s="4" t="s">
        <v>219</v>
      </c>
      <c r="G106" s="9" t="s">
        <v>246</v>
      </c>
      <c r="H106" s="6" t="s">
        <v>220</v>
      </c>
      <c r="I106" s="6" t="s">
        <v>246</v>
      </c>
      <c r="J106" s="6" t="s">
        <v>246</v>
      </c>
      <c r="K106" s="4" t="s">
        <v>246</v>
      </c>
      <c r="L106" s="6" t="s">
        <v>219</v>
      </c>
      <c r="M106" s="9">
        <v>8449</v>
      </c>
      <c r="N106" s="10" t="s">
        <v>12</v>
      </c>
      <c r="O106" s="11">
        <v>45623</v>
      </c>
      <c r="P106" s="39" t="str">
        <f>TEXT(data[[#This Row],[ميعاد الطلب]], "mmmm")</f>
        <v>November</v>
      </c>
      <c r="Q106" s="11">
        <v>45636</v>
      </c>
      <c r="R106" s="11">
        <v>45649</v>
      </c>
      <c r="S106" s="8" t="str" cm="1">
        <f t="array" ref="S106">_xlfn.IFS(
OR(data[[#This Row],[تاريخ التسليم]]="-",data[[#This Row],[ميعاد التسليم]]="-"),"غير محدد",
data[[#This Row],[ميعاد التسليم]] &lt;= data[[#This Row],[تاريخ التسليم]],"في الموعد",
TRUE,"متأخر"
)</f>
        <v>في الموعد</v>
      </c>
      <c r="T106" s="3" t="s">
        <v>301</v>
      </c>
      <c r="U106" s="3" t="s">
        <v>164</v>
      </c>
      <c r="V106" s="8" t="str">
        <f>TRIM(data[[#This Row],[المسئول عن التسليم]])</f>
        <v>شركه شحن</v>
      </c>
    </row>
    <row r="107" spans="1:22" ht="20.100000000000001" hidden="1" customHeight="1" x14ac:dyDescent="0.3">
      <c r="A107" s="6" t="s">
        <v>221</v>
      </c>
      <c r="B107" s="4" t="str">
        <f>IF(OR(data[[#This Row],[أسم العميل]]="اوسكار راتن",data[[#This Row],[أسم العميل]]="تاكى",data[[#This Row],[أسم العميل]]="شيك هومز"),"شركة","افراد")</f>
        <v>افراد</v>
      </c>
      <c r="C107" s="6" t="s">
        <v>47</v>
      </c>
      <c r="D107" s="6" t="s">
        <v>253</v>
      </c>
      <c r="E107" s="6" t="s">
        <v>5</v>
      </c>
      <c r="F107" s="4" t="s">
        <v>219</v>
      </c>
      <c r="G107" s="6" t="s">
        <v>141</v>
      </c>
      <c r="H107" s="6" t="s">
        <v>222</v>
      </c>
      <c r="I107" s="9" t="s">
        <v>246</v>
      </c>
      <c r="J107" s="6" t="s">
        <v>143</v>
      </c>
      <c r="K107" s="4" t="s">
        <v>223</v>
      </c>
      <c r="L107" s="6"/>
      <c r="M107" s="9">
        <v>10249</v>
      </c>
      <c r="N107" s="10">
        <v>6211</v>
      </c>
      <c r="O107" s="11">
        <v>45623</v>
      </c>
      <c r="P107" s="39" t="str">
        <f>TEXT(data[[#This Row],[ميعاد الطلب]], "mmmm")</f>
        <v>November</v>
      </c>
      <c r="Q107" s="11">
        <v>45636</v>
      </c>
      <c r="R107" s="11">
        <v>45645</v>
      </c>
      <c r="S107" s="8" t="str" cm="1">
        <f t="array" ref="S107">_xlfn.IFS(
OR(data[[#This Row],[تاريخ التسليم]]="-",data[[#This Row],[ميعاد التسليم]]="-"),"غير محدد",
data[[#This Row],[ميعاد التسليم]] &lt;= data[[#This Row],[تاريخ التسليم]],"في الموعد",
TRUE,"متأخر"
)</f>
        <v>في الموعد</v>
      </c>
      <c r="T107" s="3" t="s">
        <v>300</v>
      </c>
      <c r="U107" s="3" t="s">
        <v>164</v>
      </c>
      <c r="V107" s="8" t="str">
        <f>TRIM(data[[#This Row],[المسئول عن التسليم]])</f>
        <v>محمود على</v>
      </c>
    </row>
    <row r="108" spans="1:22" ht="20.100000000000001" customHeight="1" x14ac:dyDescent="0.3">
      <c r="A108" s="6" t="s">
        <v>225</v>
      </c>
      <c r="B108" s="4" t="str">
        <f>IF(OR(data[[#This Row],[أسم العميل]]="اوسكار راتن",data[[#This Row],[أسم العميل]]="تاكى",data[[#This Row],[أسم العميل]]="شيك هومز"),"شركة","افراد")</f>
        <v>افراد</v>
      </c>
      <c r="C108" s="6" t="s">
        <v>55</v>
      </c>
      <c r="D108" s="6" t="s">
        <v>253</v>
      </c>
      <c r="E108" s="6" t="s">
        <v>5</v>
      </c>
      <c r="F108" s="4" t="s">
        <v>219</v>
      </c>
      <c r="G108" s="6" t="s">
        <v>141</v>
      </c>
      <c r="H108" s="6" t="s">
        <v>222</v>
      </c>
      <c r="I108" s="9" t="s">
        <v>246</v>
      </c>
      <c r="J108" s="4" t="s">
        <v>144</v>
      </c>
      <c r="K108" s="4" t="s">
        <v>226</v>
      </c>
      <c r="L108" s="6"/>
      <c r="M108" s="9">
        <v>10249</v>
      </c>
      <c r="N108" s="10" t="s">
        <v>12</v>
      </c>
      <c r="O108" s="11">
        <v>45626</v>
      </c>
      <c r="P108" s="39" t="str">
        <f>TEXT(data[[#This Row],[ميعاد الطلب]], "mmmm")</f>
        <v>November</v>
      </c>
      <c r="Q108" s="11">
        <v>45638</v>
      </c>
      <c r="R108" s="6" t="s">
        <v>267</v>
      </c>
      <c r="S108" s="8" t="str" cm="1">
        <f t="array" ref="S108">_xlfn.IFS(
OR(data[[#This Row],[تاريخ التسليم]]="-",data[[#This Row],[ميعاد التسليم]]="-"),"غير محدد",
data[[#This Row],[ميعاد التسليم]] &lt;= data[[#This Row],[تاريخ التسليم]],"في الموعد",
TRUE,"متأخر"
)</f>
        <v>غير محدد</v>
      </c>
      <c r="T108" s="3" t="s">
        <v>162</v>
      </c>
      <c r="U108" s="3" t="s">
        <v>162</v>
      </c>
      <c r="V108" s="8" t="str">
        <f>TRIM(data[[#This Row],[المسئول عن التسليم]])</f>
        <v>فشل التسليم</v>
      </c>
    </row>
    <row r="109" spans="1:22" ht="20.100000000000001" customHeight="1" x14ac:dyDescent="0.3">
      <c r="A109" s="6" t="s">
        <v>225</v>
      </c>
      <c r="B109" s="4" t="str">
        <f>IF(OR(data[[#This Row],[أسم العميل]]="اوسكار راتن",data[[#This Row],[أسم العميل]]="تاكى",data[[#This Row],[أسم العميل]]="شيك هومز"),"شركة","افراد")</f>
        <v>افراد</v>
      </c>
      <c r="C109" s="6" t="s">
        <v>55</v>
      </c>
      <c r="D109" s="6" t="s">
        <v>253</v>
      </c>
      <c r="E109" s="4" t="s">
        <v>5</v>
      </c>
      <c r="F109" s="4" t="s">
        <v>219</v>
      </c>
      <c r="G109" s="6" t="s">
        <v>160</v>
      </c>
      <c r="H109" s="9" t="s">
        <v>246</v>
      </c>
      <c r="I109" s="9" t="s">
        <v>246</v>
      </c>
      <c r="J109" s="4" t="s">
        <v>144</v>
      </c>
      <c r="K109" s="4" t="s">
        <v>227</v>
      </c>
      <c r="L109" s="6"/>
      <c r="M109" s="9">
        <v>9029</v>
      </c>
      <c r="N109" s="10" t="s">
        <v>12</v>
      </c>
      <c r="O109" s="11">
        <v>45626</v>
      </c>
      <c r="P109" s="39" t="str">
        <f>TEXT(data[[#This Row],[ميعاد الطلب]], "mmmm")</f>
        <v>November</v>
      </c>
      <c r="Q109" s="11">
        <v>45638</v>
      </c>
      <c r="R109" s="6" t="s">
        <v>267</v>
      </c>
      <c r="S109" s="8" t="str" cm="1">
        <f t="array" ref="S109">_xlfn.IFS(
OR(data[[#This Row],[تاريخ التسليم]]="-",data[[#This Row],[ميعاد التسليم]]="-"),"غير محدد",
data[[#This Row],[ميعاد التسليم]] &lt;= data[[#This Row],[تاريخ التسليم]],"في الموعد",
TRUE,"متأخر"
)</f>
        <v>غير محدد</v>
      </c>
      <c r="T109" s="3" t="s">
        <v>162</v>
      </c>
      <c r="U109" s="3" t="s">
        <v>162</v>
      </c>
      <c r="V109" s="8" t="str">
        <f>TRIM(data[[#This Row],[المسئول عن التسليم]])</f>
        <v>فشل التسليم</v>
      </c>
    </row>
    <row r="110" spans="1:22" ht="20.100000000000001" customHeight="1" x14ac:dyDescent="0.3">
      <c r="A110" s="6" t="s">
        <v>228</v>
      </c>
      <c r="B110" s="4" t="str">
        <f>IF(OR(data[[#This Row],[أسم العميل]]="اوسكار راتن",data[[#This Row],[أسم العميل]]="تاكى",data[[#This Row],[أسم العميل]]="شيك هومز"),"شركة","افراد")</f>
        <v>افراد</v>
      </c>
      <c r="C110" s="6" t="s">
        <v>125</v>
      </c>
      <c r="D110" s="6" t="s">
        <v>171</v>
      </c>
      <c r="E110" s="6" t="s">
        <v>5</v>
      </c>
      <c r="F110" s="4" t="s">
        <v>219</v>
      </c>
      <c r="G110" s="6" t="s">
        <v>238</v>
      </c>
      <c r="H110" s="9" t="s">
        <v>246</v>
      </c>
      <c r="I110" s="9" t="s">
        <v>246</v>
      </c>
      <c r="J110" s="4" t="s">
        <v>144</v>
      </c>
      <c r="K110" s="4" t="s">
        <v>229</v>
      </c>
      <c r="L110" s="6"/>
      <c r="M110" s="9">
        <v>9029</v>
      </c>
      <c r="N110" s="10" t="s">
        <v>12</v>
      </c>
      <c r="O110" s="11">
        <v>45626</v>
      </c>
      <c r="P110" s="39" t="str">
        <f>TEXT(data[[#This Row],[ميعاد الطلب]], "mmmm")</f>
        <v>November</v>
      </c>
      <c r="Q110" s="11">
        <v>45638</v>
      </c>
      <c r="R110" s="6" t="s">
        <v>267</v>
      </c>
      <c r="S110" s="8" t="str" cm="1">
        <f t="array" ref="S110">_xlfn.IFS(
OR(data[[#This Row],[تاريخ التسليم]]="-",data[[#This Row],[ميعاد التسليم]]="-"),"غير محدد",
data[[#This Row],[ميعاد التسليم]] &lt;= data[[#This Row],[تاريخ التسليم]],"في الموعد",
TRUE,"متأخر"
)</f>
        <v>غير محدد</v>
      </c>
      <c r="T110" s="3" t="s">
        <v>246</v>
      </c>
      <c r="U110" s="3" t="s">
        <v>246</v>
      </c>
      <c r="V110" s="8" t="str">
        <f>TRIM(data[[#This Row],[المسئول عن التسليم]])</f>
        <v>غير محدد</v>
      </c>
    </row>
    <row r="111" spans="1:22" ht="20.100000000000001" hidden="1" customHeight="1" x14ac:dyDescent="0.3">
      <c r="A111" s="6" t="s">
        <v>68</v>
      </c>
      <c r="B111" s="4" t="str">
        <f>IF(OR(data[[#This Row],[أسم العميل]]="اوسكار راتن",data[[#This Row],[أسم العميل]]="تاكى",data[[#This Row],[أسم العميل]]="شيك هومز"),"شركة","افراد")</f>
        <v>شركة</v>
      </c>
      <c r="C111" s="6" t="s">
        <v>165</v>
      </c>
      <c r="D111" s="6" t="s">
        <v>254</v>
      </c>
      <c r="E111" s="6" t="s">
        <v>44</v>
      </c>
      <c r="F111" s="4" t="s">
        <v>129</v>
      </c>
      <c r="G111" s="6" t="s">
        <v>206</v>
      </c>
      <c r="H111" s="6" t="s">
        <v>209</v>
      </c>
      <c r="I111" s="9">
        <v>90</v>
      </c>
      <c r="J111" s="6" t="s">
        <v>146</v>
      </c>
      <c r="K111" s="6" t="s">
        <v>246</v>
      </c>
      <c r="L111" s="6"/>
      <c r="M111" s="9">
        <v>5217</v>
      </c>
      <c r="N111" s="10" t="s">
        <v>70</v>
      </c>
      <c r="O111" s="11">
        <v>45627</v>
      </c>
      <c r="P111" s="39" t="str">
        <f>TEXT(data[[#This Row],[ميعاد الطلب]], "mmmm")</f>
        <v>December</v>
      </c>
      <c r="Q111" s="11">
        <v>45640</v>
      </c>
      <c r="R111" s="11">
        <v>45636</v>
      </c>
      <c r="S111" s="8" t="str" cm="1">
        <f t="array" ref="S111">_xlfn.IFS(
OR(data[[#This Row],[تاريخ التسليم]]="-",data[[#This Row],[ميعاد التسليم]]="-"),"غير محدد",
data[[#This Row],[ميعاد التسليم]] &lt;= data[[#This Row],[تاريخ التسليم]],"في الموعد",
TRUE,"متأخر"
)</f>
        <v>متأخر</v>
      </c>
      <c r="T111" s="3" t="s">
        <v>300</v>
      </c>
      <c r="U111" s="3" t="s">
        <v>164</v>
      </c>
      <c r="V111" s="8" t="str">
        <f>TRIM(data[[#This Row],[المسئول عن التسليم]])</f>
        <v>محمود على</v>
      </c>
    </row>
    <row r="112" spans="1:22" ht="20.100000000000001" customHeight="1" x14ac:dyDescent="0.3">
      <c r="A112" s="6" t="s">
        <v>232</v>
      </c>
      <c r="B112" s="4" t="str">
        <f>IF(OR(data[[#This Row],[أسم العميل]]="اوسكار راتن",data[[#This Row],[أسم العميل]]="تاكى",data[[#This Row],[أسم العميل]]="شيك هومز"),"شركة","افراد")</f>
        <v>افراد</v>
      </c>
      <c r="C112" s="6" t="s">
        <v>117</v>
      </c>
      <c r="D112" s="6" t="s">
        <v>253</v>
      </c>
      <c r="E112" s="4" t="s">
        <v>5</v>
      </c>
      <c r="F112" s="4" t="s">
        <v>129</v>
      </c>
      <c r="G112" s="6" t="s">
        <v>130</v>
      </c>
      <c r="H112" s="9" t="s">
        <v>246</v>
      </c>
      <c r="I112" s="9" t="s">
        <v>246</v>
      </c>
      <c r="J112" s="4" t="s">
        <v>144</v>
      </c>
      <c r="K112" s="4" t="s">
        <v>144</v>
      </c>
      <c r="L112" s="6"/>
      <c r="M112" s="9">
        <v>10249</v>
      </c>
      <c r="N112" s="10">
        <v>6211</v>
      </c>
      <c r="O112" s="11">
        <v>45630</v>
      </c>
      <c r="P112" s="39" t="str">
        <f>TEXT(data[[#This Row],[ميعاد الطلب]], "mmmm")</f>
        <v>December</v>
      </c>
      <c r="Q112" s="11">
        <v>45640</v>
      </c>
      <c r="R112" s="11">
        <v>45645</v>
      </c>
      <c r="S112" s="8" t="str" cm="1">
        <f t="array" ref="S112">_xlfn.IFS(
OR(data[[#This Row],[تاريخ التسليم]]="-",data[[#This Row],[ميعاد التسليم]]="-"),"غير محدد",
data[[#This Row],[ميعاد التسليم]] &lt;= data[[#This Row],[تاريخ التسليم]],"في الموعد",
TRUE,"متأخر"
)</f>
        <v>في الموعد</v>
      </c>
      <c r="T112" s="3" t="s">
        <v>300</v>
      </c>
      <c r="U112" s="3" t="s">
        <v>164</v>
      </c>
      <c r="V112" s="8" t="str">
        <f>TRIM(data[[#This Row],[المسئول عن التسليم]])</f>
        <v>محمود على</v>
      </c>
    </row>
    <row r="113" spans="1:22" ht="20.100000000000001" customHeight="1" x14ac:dyDescent="0.3">
      <c r="A113" s="6" t="s">
        <v>224</v>
      </c>
      <c r="B113" s="4" t="str">
        <f>IF(OR(data[[#This Row],[أسم العميل]]="اوسكار راتن",data[[#This Row],[أسم العميل]]="تاكى",data[[#This Row],[أسم العميل]]="شيك هومز"),"شركة","افراد")</f>
        <v>افراد</v>
      </c>
      <c r="C113" s="6" t="s">
        <v>265</v>
      </c>
      <c r="D113" s="6" t="s">
        <v>261</v>
      </c>
      <c r="E113" s="6" t="s">
        <v>5</v>
      </c>
      <c r="F113" s="6" t="s">
        <v>129</v>
      </c>
      <c r="G113" s="6" t="s">
        <v>141</v>
      </c>
      <c r="H113" s="6" t="s">
        <v>134</v>
      </c>
      <c r="I113" s="5">
        <v>100</v>
      </c>
      <c r="J113" s="4" t="s">
        <v>144</v>
      </c>
      <c r="K113" s="4" t="s">
        <v>246</v>
      </c>
      <c r="L113" s="6"/>
      <c r="M113" s="9">
        <v>14905</v>
      </c>
      <c r="N113" s="10" t="s">
        <v>12</v>
      </c>
      <c r="O113" s="11">
        <v>45625</v>
      </c>
      <c r="P113" s="39" t="str">
        <f>TEXT(data[[#This Row],[ميعاد الطلب]], "mmmm")</f>
        <v>November</v>
      </c>
      <c r="Q113" s="11">
        <v>45641</v>
      </c>
      <c r="R113" s="6" t="s">
        <v>267</v>
      </c>
      <c r="S113" s="8" t="str" cm="1">
        <f t="array" ref="S113">_xlfn.IFS(
OR(data[[#This Row],[تاريخ التسليم]]="-",data[[#This Row],[ميعاد التسليم]]="-"),"غير محدد",
data[[#This Row],[ميعاد التسليم]] &lt;= data[[#This Row],[تاريخ التسليم]],"في الموعد",
TRUE,"متأخر"
)</f>
        <v>غير محدد</v>
      </c>
      <c r="T113" s="3" t="s">
        <v>237</v>
      </c>
      <c r="U113" s="3" t="s">
        <v>162</v>
      </c>
      <c r="V113" s="8" t="str">
        <f>TRIM(data[[#This Row],[المسئول عن التسليم]])</f>
        <v>العميل رفض الاستلام</v>
      </c>
    </row>
    <row r="114" spans="1:22" ht="20.100000000000001" hidden="1" customHeight="1" x14ac:dyDescent="0.3">
      <c r="A114" s="6" t="s">
        <v>183</v>
      </c>
      <c r="B114" s="4" t="str">
        <f>IF(OR(data[[#This Row],[أسم العميل]]="اوسكار راتن",data[[#This Row],[أسم العميل]]="تاكى",data[[#This Row],[أسم العميل]]="شيك هومز"),"شركة","افراد")</f>
        <v>افراد</v>
      </c>
      <c r="C114" s="6" t="s">
        <v>87</v>
      </c>
      <c r="D114" s="6" t="s">
        <v>253</v>
      </c>
      <c r="E114" s="4" t="s">
        <v>5</v>
      </c>
      <c r="F114" s="6" t="s">
        <v>129</v>
      </c>
      <c r="G114" s="6" t="s">
        <v>141</v>
      </c>
      <c r="H114" s="6" t="s">
        <v>184</v>
      </c>
      <c r="I114" s="39" t="s">
        <v>239</v>
      </c>
      <c r="J114" s="4" t="s">
        <v>185</v>
      </c>
      <c r="K114" s="4" t="s">
        <v>246</v>
      </c>
      <c r="L114" s="6"/>
      <c r="M114" s="9">
        <v>12899</v>
      </c>
      <c r="N114" s="10">
        <v>13028</v>
      </c>
      <c r="O114" s="11">
        <v>45578</v>
      </c>
      <c r="P114" s="39" t="str">
        <f>TEXT(data[[#This Row],[ميعاد الطلب]], "mmmm")</f>
        <v>October</v>
      </c>
      <c r="Q114" s="11">
        <v>45643</v>
      </c>
      <c r="R114" s="11">
        <v>45598</v>
      </c>
      <c r="S114" s="8" t="str" cm="1">
        <f t="array" ref="S114">_xlfn.IFS(
OR(data[[#This Row],[تاريخ التسليم]]="-",data[[#This Row],[ميعاد التسليم]]="-"),"غير محدد",
data[[#This Row],[ميعاد التسليم]] &lt;= data[[#This Row],[تاريخ التسليم]],"في الموعد",
TRUE,"متأخر"
)</f>
        <v>متأخر</v>
      </c>
      <c r="T114" s="3" t="s">
        <v>300</v>
      </c>
      <c r="U114" s="3" t="s">
        <v>164</v>
      </c>
      <c r="V114" s="8" t="str">
        <f>TRIM(data[[#This Row],[المسئول عن التسليم]])</f>
        <v>محمود على</v>
      </c>
    </row>
    <row r="115" spans="1:22" ht="20.100000000000001" hidden="1" customHeight="1" x14ac:dyDescent="0.3">
      <c r="A115" s="6" t="s">
        <v>230</v>
      </c>
      <c r="B115" s="4" t="str">
        <f>IF(OR(data[[#This Row],[أسم العميل]]="اوسكار راتن",data[[#This Row],[أسم العميل]]="تاكى",data[[#This Row],[أسم العميل]]="شيك هومز"),"شركة","افراد")</f>
        <v>افراد</v>
      </c>
      <c r="C115" s="6" t="s">
        <v>231</v>
      </c>
      <c r="D115" s="6" t="s">
        <v>253</v>
      </c>
      <c r="E115" s="4" t="s">
        <v>5</v>
      </c>
      <c r="F115" s="6" t="s">
        <v>129</v>
      </c>
      <c r="G115" s="6" t="s">
        <v>206</v>
      </c>
      <c r="H115" s="6" t="s">
        <v>131</v>
      </c>
      <c r="I115" s="9">
        <v>80</v>
      </c>
      <c r="J115" s="6" t="s">
        <v>143</v>
      </c>
      <c r="K115" s="6" t="s">
        <v>246</v>
      </c>
      <c r="L115" s="6"/>
      <c r="M115" s="9">
        <v>12099</v>
      </c>
      <c r="N115" s="10" t="s">
        <v>12</v>
      </c>
      <c r="O115" s="11">
        <v>45628</v>
      </c>
      <c r="P115" s="39" t="str">
        <f>TEXT(data[[#This Row],[ميعاد الطلب]], "mmmm")</f>
        <v>December</v>
      </c>
      <c r="Q115" s="11">
        <v>45643</v>
      </c>
      <c r="R115" s="6" t="s">
        <v>267</v>
      </c>
      <c r="S115" s="8" t="str" cm="1">
        <f t="array" ref="S115">_xlfn.IFS(
OR(data[[#This Row],[تاريخ التسليم]]="-",data[[#This Row],[ميعاد التسليم]]="-"),"غير محدد",
data[[#This Row],[ميعاد التسليم]] &lt;= data[[#This Row],[تاريخ التسليم]],"في الموعد",
TRUE,"متأخر"
)</f>
        <v>غير محدد</v>
      </c>
      <c r="T115" s="3" t="s">
        <v>162</v>
      </c>
      <c r="U115" s="3" t="s">
        <v>162</v>
      </c>
      <c r="V115" s="8" t="str">
        <f>TRIM(data[[#This Row],[المسئول عن التسليم]])</f>
        <v>فشل التسليم</v>
      </c>
    </row>
    <row r="116" spans="1:22" ht="20.100000000000001" hidden="1" customHeight="1" x14ac:dyDescent="0.3">
      <c r="A116" s="6" t="s">
        <v>186</v>
      </c>
      <c r="B116" s="4" t="str">
        <f>IF(OR(data[[#This Row],[أسم العميل]]="اوسكار راتن",data[[#This Row],[أسم العميل]]="تاكى",data[[#This Row],[أسم العميل]]="شيك هومز"),"شركة","افراد")</f>
        <v>افراد</v>
      </c>
      <c r="C116" s="6" t="s">
        <v>38</v>
      </c>
      <c r="D116" s="6" t="s">
        <v>253</v>
      </c>
      <c r="E116" s="4" t="s">
        <v>5</v>
      </c>
      <c r="F116" s="4" t="s">
        <v>129</v>
      </c>
      <c r="G116" s="6" t="s">
        <v>141</v>
      </c>
      <c r="H116" s="6" t="s">
        <v>134</v>
      </c>
      <c r="I116" s="9">
        <v>80</v>
      </c>
      <c r="J116" s="6" t="s">
        <v>143</v>
      </c>
      <c r="K116" s="4" t="s">
        <v>246</v>
      </c>
      <c r="L116" s="6"/>
      <c r="M116" s="9">
        <v>10499</v>
      </c>
      <c r="N116" s="10" t="s">
        <v>12</v>
      </c>
      <c r="O116" s="11">
        <v>45581</v>
      </c>
      <c r="P116" s="39" t="str">
        <f>TEXT(data[[#This Row],[ميعاد الطلب]], "mmmm")</f>
        <v>October</v>
      </c>
      <c r="Q116" s="11">
        <v>45645</v>
      </c>
      <c r="R116" s="11">
        <v>45586</v>
      </c>
      <c r="S116" s="8" t="str" cm="1">
        <f t="array" ref="S116">_xlfn.IFS(
OR(data[[#This Row],[تاريخ التسليم]]="-",data[[#This Row],[ميعاد التسليم]]="-"),"غير محدد",
data[[#This Row],[ميعاد التسليم]] &lt;= data[[#This Row],[تاريخ التسليم]],"في الموعد",
TRUE,"متأخر"
)</f>
        <v>متأخر</v>
      </c>
      <c r="T116" s="3" t="s">
        <v>300</v>
      </c>
      <c r="U116" s="3" t="s">
        <v>164</v>
      </c>
      <c r="V116" s="8" t="str">
        <f>TRIM(data[[#This Row],[المسئول عن التسليم]])</f>
        <v>محمود على</v>
      </c>
    </row>
    <row r="117" spans="1:22" ht="20.100000000000001" hidden="1" customHeight="1" x14ac:dyDescent="0.3">
      <c r="A117" s="6" t="s">
        <v>187</v>
      </c>
      <c r="B117" s="4" t="str">
        <f>IF(OR(data[[#This Row],[أسم العميل]]="اوسكار راتن",data[[#This Row],[أسم العميل]]="تاكى",data[[#This Row],[أسم العميل]]="شيك هومز"),"شركة","افراد")</f>
        <v>افراد</v>
      </c>
      <c r="C117" s="6" t="s">
        <v>260</v>
      </c>
      <c r="D117" s="6" t="s">
        <v>261</v>
      </c>
      <c r="E117" s="4" t="s">
        <v>5</v>
      </c>
      <c r="F117" s="6" t="s">
        <v>129</v>
      </c>
      <c r="G117" s="6" t="s">
        <v>141</v>
      </c>
      <c r="H117" s="6" t="s">
        <v>131</v>
      </c>
      <c r="I117" s="19" t="s">
        <v>239</v>
      </c>
      <c r="J117" s="6" t="s">
        <v>185</v>
      </c>
      <c r="K117" s="6" t="s">
        <v>246</v>
      </c>
      <c r="L117" s="6"/>
      <c r="M117" s="9">
        <v>12899</v>
      </c>
      <c r="N117" s="10" t="s">
        <v>12</v>
      </c>
      <c r="O117" s="11">
        <v>45582</v>
      </c>
      <c r="P117" s="39" t="str">
        <f>TEXT(data[[#This Row],[ميعاد الطلب]], "mmmm")</f>
        <v>October</v>
      </c>
      <c r="Q117" s="11">
        <v>45648</v>
      </c>
      <c r="R117" s="11">
        <v>45629</v>
      </c>
      <c r="S117" s="8" t="str" cm="1">
        <f t="array" ref="S117">_xlfn.IFS(
OR(data[[#This Row],[تاريخ التسليم]]="-",data[[#This Row],[ميعاد التسليم]]="-"),"غير محدد",
data[[#This Row],[ميعاد التسليم]] &lt;= data[[#This Row],[تاريخ التسليم]],"في الموعد",
TRUE,"متأخر"
)</f>
        <v>متأخر</v>
      </c>
      <c r="T117" s="3" t="s">
        <v>301</v>
      </c>
      <c r="U117" s="3" t="s">
        <v>164</v>
      </c>
      <c r="V117" s="8" t="str">
        <f>TRIM(data[[#This Row],[المسئول عن التسليم]])</f>
        <v>شركه شحن</v>
      </c>
    </row>
    <row r="118" spans="1:22" ht="20.100000000000001" customHeight="1" x14ac:dyDescent="0.3">
      <c r="A118" s="6" t="s">
        <v>234</v>
      </c>
      <c r="B118" s="4" t="str">
        <f>IF(OR(data[[#This Row],[أسم العميل]]="اوسكار راتن",data[[#This Row],[أسم العميل]]="تاكى",data[[#This Row],[أسم العميل]]="شيك هومز"),"شركة","افراد")</f>
        <v>افراد</v>
      </c>
      <c r="C118" s="6" t="s">
        <v>55</v>
      </c>
      <c r="D118" s="6" t="s">
        <v>253</v>
      </c>
      <c r="E118" s="4" t="s">
        <v>5</v>
      </c>
      <c r="F118" s="6" t="s">
        <v>219</v>
      </c>
      <c r="G118" s="6" t="s">
        <v>141</v>
      </c>
      <c r="H118" s="6" t="s">
        <v>222</v>
      </c>
      <c r="I118" s="9" t="s">
        <v>246</v>
      </c>
      <c r="J118" s="4" t="s">
        <v>144</v>
      </c>
      <c r="K118" s="6" t="s">
        <v>226</v>
      </c>
      <c r="L118" s="6"/>
      <c r="M118" s="9">
        <v>11199</v>
      </c>
      <c r="N118" s="10">
        <v>11257</v>
      </c>
      <c r="O118" s="11">
        <v>45638</v>
      </c>
      <c r="P118" s="39" t="str">
        <f>TEXT(data[[#This Row],[ميعاد الطلب]], "mmmm")</f>
        <v>December</v>
      </c>
      <c r="Q118" s="11">
        <v>45650</v>
      </c>
      <c r="R118" s="11">
        <v>45645</v>
      </c>
      <c r="S118" s="8" t="str" cm="1">
        <f t="array" ref="S118">_xlfn.IFS(
OR(data[[#This Row],[تاريخ التسليم]]="-",data[[#This Row],[ميعاد التسليم]]="-"),"غير محدد",
data[[#This Row],[ميعاد التسليم]] &lt;= data[[#This Row],[تاريخ التسليم]],"في الموعد",
TRUE,"متأخر"
)</f>
        <v>متأخر</v>
      </c>
      <c r="T118" s="3" t="s">
        <v>300</v>
      </c>
      <c r="U118" s="3" t="s">
        <v>164</v>
      </c>
      <c r="V118" s="8" t="str">
        <f>TRIM(data[[#This Row],[المسئول عن التسليم]])</f>
        <v>محمود على</v>
      </c>
    </row>
    <row r="119" spans="1:22" ht="20.100000000000001" customHeight="1" x14ac:dyDescent="0.3">
      <c r="A119" s="6" t="s">
        <v>235</v>
      </c>
      <c r="B119" s="4" t="str">
        <f>IF(OR(data[[#This Row],[أسم العميل]]="اوسكار راتن",data[[#This Row],[أسم العميل]]="تاكى",data[[#This Row],[أسم العميل]]="شيك هومز"),"شركة","افراد")</f>
        <v>افراد</v>
      </c>
      <c r="C119" s="6" t="s">
        <v>256</v>
      </c>
      <c r="D119" s="6" t="s">
        <v>257</v>
      </c>
      <c r="E119" s="4" t="s">
        <v>5</v>
      </c>
      <c r="F119" s="6" t="s">
        <v>129</v>
      </c>
      <c r="G119" s="6" t="s">
        <v>141</v>
      </c>
      <c r="H119" s="6" t="s">
        <v>131</v>
      </c>
      <c r="I119" s="9">
        <v>80</v>
      </c>
      <c r="J119" s="4" t="s">
        <v>144</v>
      </c>
      <c r="K119" s="6" t="s">
        <v>246</v>
      </c>
      <c r="L119" s="6"/>
      <c r="M119" s="9">
        <v>13099</v>
      </c>
      <c r="N119" s="10">
        <v>13231</v>
      </c>
      <c r="O119" s="11">
        <v>45638</v>
      </c>
      <c r="P119" s="39" t="str">
        <f>TEXT(data[[#This Row],[ميعاد الطلب]], "mmmm")</f>
        <v>December</v>
      </c>
      <c r="Q119" s="11">
        <v>45654</v>
      </c>
      <c r="R119" s="11">
        <v>45655</v>
      </c>
      <c r="S119" s="8" t="str" cm="1">
        <f t="array" ref="S119">_xlfn.IFS(
OR(data[[#This Row],[تاريخ التسليم]]="-",data[[#This Row],[ميعاد التسليم]]="-"),"غير محدد",
data[[#This Row],[ميعاد التسليم]] &lt;= data[[#This Row],[تاريخ التسليم]],"في الموعد",
TRUE,"متأخر"
)</f>
        <v>في الموعد</v>
      </c>
      <c r="T119" s="3" t="s">
        <v>300</v>
      </c>
      <c r="U119" s="3" t="s">
        <v>164</v>
      </c>
      <c r="V119" s="8" t="str">
        <f>TRIM(data[[#This Row],[المسئول عن التسليم]])</f>
        <v>محمود على</v>
      </c>
    </row>
    <row r="120" spans="1:22" ht="20.100000000000001" customHeight="1" x14ac:dyDescent="0.3">
      <c r="A120" s="6" t="s">
        <v>233</v>
      </c>
      <c r="B120" s="4" t="str">
        <f>IF(OR(data[[#This Row],[أسم العميل]]="اوسكار راتن",data[[#This Row],[أسم العميل]]="تاكى",data[[#This Row],[أسم العميل]]="شيك هومز"),"شركة","افراد")</f>
        <v>افراد</v>
      </c>
      <c r="C120" s="6" t="s">
        <v>25</v>
      </c>
      <c r="D120" s="6" t="s">
        <v>253</v>
      </c>
      <c r="E120" s="4" t="s">
        <v>22</v>
      </c>
      <c r="F120" s="4" t="s">
        <v>129</v>
      </c>
      <c r="G120" s="6" t="s">
        <v>141</v>
      </c>
      <c r="H120" s="6" t="s">
        <v>133</v>
      </c>
      <c r="I120" s="9" t="s">
        <v>246</v>
      </c>
      <c r="J120" s="4" t="s">
        <v>144</v>
      </c>
      <c r="K120" s="4" t="s">
        <v>246</v>
      </c>
      <c r="L120" s="6"/>
      <c r="M120" s="9">
        <v>10445</v>
      </c>
      <c r="N120" s="10">
        <v>7707</v>
      </c>
      <c r="O120" s="11">
        <v>45635</v>
      </c>
      <c r="P120" s="39" t="str">
        <f>TEXT(data[[#This Row],[ميعاد الطلب]], "mmmm")</f>
        <v>December</v>
      </c>
      <c r="Q120" s="11">
        <v>45657</v>
      </c>
      <c r="R120" s="11">
        <v>45638</v>
      </c>
      <c r="S120" s="8" t="str" cm="1">
        <f t="array" ref="S120">_xlfn.IFS(
OR(data[[#This Row],[تاريخ التسليم]]="-",data[[#This Row],[ميعاد التسليم]]="-"),"غير محدد",
data[[#This Row],[ميعاد التسليم]] &lt;= data[[#This Row],[تاريخ التسليم]],"في الموعد",
TRUE,"متأخر"
)</f>
        <v>متأخر</v>
      </c>
      <c r="T120" s="3" t="s">
        <v>300</v>
      </c>
      <c r="U120" s="3" t="s">
        <v>164</v>
      </c>
      <c r="V120" s="8" t="str">
        <f>TRIM(data[[#This Row],[المسئول عن التسليم]])</f>
        <v>محمود على</v>
      </c>
    </row>
    <row r="121" spans="1:22" ht="20.100000000000001" customHeight="1" x14ac:dyDescent="0.3">
      <c r="A121" s="4" t="s">
        <v>293</v>
      </c>
      <c r="B121" s="4" t="str">
        <f>IF(OR(data[[#This Row],[أسم العميل]]="اوسكار راتن",data[[#This Row],[أسم العميل]]="تاكى",data[[#This Row],[أسم العميل]]="شيك هومز"),"شركة","افراد")</f>
        <v>شركة</v>
      </c>
      <c r="C121" s="6" t="s">
        <v>181</v>
      </c>
      <c r="D121" s="6" t="s">
        <v>253</v>
      </c>
      <c r="E121" s="6" t="s">
        <v>22</v>
      </c>
      <c r="F121" s="4" t="s">
        <v>142</v>
      </c>
      <c r="G121" s="6" t="s">
        <v>140</v>
      </c>
      <c r="H121" s="6" t="s">
        <v>198</v>
      </c>
      <c r="I121" s="9" t="s">
        <v>246</v>
      </c>
      <c r="J121" s="4" t="s">
        <v>144</v>
      </c>
      <c r="K121" s="4" t="s">
        <v>236</v>
      </c>
      <c r="L121" s="6"/>
      <c r="M121" s="9">
        <v>8700</v>
      </c>
      <c r="N121" s="10" t="s">
        <v>70</v>
      </c>
      <c r="O121" s="11">
        <v>45640</v>
      </c>
      <c r="P121" s="39" t="str">
        <f>TEXT(data[[#This Row],[ميعاد الطلب]], "mmmm")</f>
        <v>December</v>
      </c>
      <c r="Q121" s="11">
        <v>45662</v>
      </c>
      <c r="R121" s="11">
        <v>45655</v>
      </c>
      <c r="S121" s="8" t="str" cm="1">
        <f t="array" ref="S121">_xlfn.IFS(
OR(data[[#This Row],[تاريخ التسليم]]="-",data[[#This Row],[ميعاد التسليم]]="-"),"غير محدد",
data[[#This Row],[ميعاد التسليم]] &lt;= data[[#This Row],[تاريخ التسليم]],"في الموعد",
TRUE,"متأخر"
)</f>
        <v>متأخر</v>
      </c>
      <c r="T121" s="3" t="s">
        <v>300</v>
      </c>
      <c r="U121" s="3" t="s">
        <v>164</v>
      </c>
      <c r="V121" s="8" t="str">
        <f>TRIM(data[[#This Row],[المسئول عن التسليم]])</f>
        <v>محمود على</v>
      </c>
    </row>
    <row r="122" spans="1:22" ht="20.100000000000001" hidden="1" customHeight="1" x14ac:dyDescent="0.3">
      <c r="A122" s="6" t="s">
        <v>10</v>
      </c>
      <c r="B122" s="6" t="str">
        <f>IF(OR(data[[#This Row],[أسم العميل]]="اوسكار راتن",data[[#This Row],[أسم العميل]]="تاكى",data[[#This Row],[أسم العميل]]="شيك هومز"),"شركة","افراد")</f>
        <v>افراد</v>
      </c>
      <c r="C122" s="6" t="s">
        <v>247</v>
      </c>
      <c r="D122" s="6" t="s">
        <v>248</v>
      </c>
      <c r="E122" s="4" t="s">
        <v>5</v>
      </c>
      <c r="F122" s="4" t="s">
        <v>129</v>
      </c>
      <c r="G122" s="6" t="s">
        <v>130</v>
      </c>
      <c r="H122" s="6" t="s">
        <v>246</v>
      </c>
      <c r="I122" s="6" t="s">
        <v>246</v>
      </c>
      <c r="J122" s="6" t="s">
        <v>246</v>
      </c>
      <c r="K122" s="6" t="s">
        <v>246</v>
      </c>
      <c r="L122" s="6" t="s">
        <v>11</v>
      </c>
      <c r="M122" s="9">
        <v>10160</v>
      </c>
      <c r="N122" s="10" t="s">
        <v>12</v>
      </c>
      <c r="O122" s="11">
        <v>45500</v>
      </c>
      <c r="P122" s="19" t="str">
        <f>TEXT(data[[#This Row],[ميعاد الطلب]], "mmmm")</f>
        <v>July</v>
      </c>
      <c r="Q122" s="6" t="s">
        <v>267</v>
      </c>
      <c r="R122" s="11">
        <v>45514</v>
      </c>
      <c r="S122" s="11" t="str" cm="1">
        <f t="array" ref="S122">_xlfn.IFS(
OR(data[[#This Row],[تاريخ التسليم]]="-",data[[#This Row],[ميعاد التسليم]]="-"),"غير محدد",
data[[#This Row],[ميعاد التسليم]] &lt;= data[[#This Row],[تاريخ التسليم]],"في الموعد",
TRUE,"متأخر"
)</f>
        <v>غير محدد</v>
      </c>
      <c r="T122" s="6" t="s">
        <v>268</v>
      </c>
      <c r="U122" s="4" t="s">
        <v>164</v>
      </c>
      <c r="V122" s="11" t="str">
        <f>TRIM(data[[#This Row],[المسئول عن التسليم]])</f>
        <v>شركه شحن</v>
      </c>
    </row>
    <row r="123" spans="1:22" ht="20.100000000000001" hidden="1" customHeight="1" x14ac:dyDescent="0.3">
      <c r="A123" s="6" t="s">
        <v>13</v>
      </c>
      <c r="B123" s="6" t="str">
        <f>IF(OR(data[[#This Row],[أسم العميل]]="اوسكار راتن",data[[#This Row],[أسم العميل]]="تاكى",data[[#This Row],[أسم العميل]]="شيك هومز"),"شركة","افراد")</f>
        <v>افراد</v>
      </c>
      <c r="C123" s="6" t="s">
        <v>249</v>
      </c>
      <c r="D123" s="6" t="s">
        <v>250</v>
      </c>
      <c r="E123" s="6" t="s">
        <v>5</v>
      </c>
      <c r="F123" s="4" t="s">
        <v>129</v>
      </c>
      <c r="G123" s="6" t="s">
        <v>130</v>
      </c>
      <c r="H123" s="6" t="s">
        <v>246</v>
      </c>
      <c r="I123" s="6" t="s">
        <v>246</v>
      </c>
      <c r="J123" s="6" t="s">
        <v>246</v>
      </c>
      <c r="K123" s="4" t="s">
        <v>246</v>
      </c>
      <c r="L123" s="6" t="s">
        <v>14</v>
      </c>
      <c r="M123" s="9">
        <v>10160</v>
      </c>
      <c r="N123" s="10">
        <v>9749</v>
      </c>
      <c r="O123" s="11">
        <v>45501</v>
      </c>
      <c r="P123" s="19" t="str">
        <f>TEXT(data[[#This Row],[ميعاد الطلب]], "mmmm")</f>
        <v>July</v>
      </c>
      <c r="Q123" s="6" t="s">
        <v>267</v>
      </c>
      <c r="R123" s="11">
        <v>45515</v>
      </c>
      <c r="S123" s="11" t="str" cm="1">
        <f t="array" ref="S123">_xlfn.IFS(
OR(data[[#This Row],[تاريخ التسليم]]="-",data[[#This Row],[ميعاد التسليم]]="-"),"غير محدد",
data[[#This Row],[ميعاد التسليم]] &lt;= data[[#This Row],[تاريخ التسليم]],"في الموعد",
TRUE,"متأخر"
)</f>
        <v>غير محدد</v>
      </c>
      <c r="T123" s="6" t="s">
        <v>268</v>
      </c>
      <c r="U123" s="4" t="s">
        <v>164</v>
      </c>
      <c r="V123" s="11" t="str">
        <f>TRIM(data[[#This Row],[المسئول عن التسليم]])</f>
        <v>شركه شحن</v>
      </c>
    </row>
    <row r="124" spans="1:22" ht="20.100000000000001" hidden="1" customHeight="1" x14ac:dyDescent="0.3">
      <c r="A124" s="6" t="s">
        <v>15</v>
      </c>
      <c r="B124" s="6" t="str">
        <f>IF(OR(data[[#This Row],[أسم العميل]]="اوسكار راتن",data[[#This Row],[أسم العميل]]="تاكى",data[[#This Row],[أسم العميل]]="شيك هومز"),"شركة","افراد")</f>
        <v>افراد</v>
      </c>
      <c r="C124" s="6" t="s">
        <v>251</v>
      </c>
      <c r="D124" s="6" t="s">
        <v>252</v>
      </c>
      <c r="E124" s="4" t="s">
        <v>5</v>
      </c>
      <c r="F124" s="6" t="s">
        <v>129</v>
      </c>
      <c r="G124" s="6" t="s">
        <v>141</v>
      </c>
      <c r="H124" s="6" t="s">
        <v>134</v>
      </c>
      <c r="I124" s="9">
        <v>90</v>
      </c>
      <c r="J124" s="6" t="s">
        <v>146</v>
      </c>
      <c r="K124" s="6" t="s">
        <v>246</v>
      </c>
      <c r="L124" s="6" t="s">
        <v>16</v>
      </c>
      <c r="M124" s="9">
        <v>11455</v>
      </c>
      <c r="N124" s="10">
        <v>10067.68</v>
      </c>
      <c r="O124" s="11">
        <v>45500</v>
      </c>
      <c r="P124" s="19" t="str">
        <f>TEXT(data[[#This Row],[ميعاد الطلب]], "mmmm")</f>
        <v>July</v>
      </c>
      <c r="Q124" s="6" t="s">
        <v>267</v>
      </c>
      <c r="R124" s="6" t="s">
        <v>267</v>
      </c>
      <c r="S124" s="11" t="str" cm="1">
        <f t="array" ref="S124">_xlfn.IFS(
OR(data[[#This Row],[تاريخ التسليم]]="-",data[[#This Row],[ميعاد التسليم]]="-"),"غير محدد",
data[[#This Row],[ميعاد التسليم]] &lt;= data[[#This Row],[تاريخ التسليم]],"في الموعد",
TRUE,"متأخر"
)</f>
        <v>غير محدد</v>
      </c>
      <c r="T124" s="6" t="s">
        <v>27</v>
      </c>
      <c r="U124" s="4" t="s">
        <v>162</v>
      </c>
      <c r="V124" s="11" t="str">
        <f>TRIM(data[[#This Row],[المسئول عن التسليم]])</f>
        <v>فشل التسليم</v>
      </c>
    </row>
    <row r="125" spans="1:22" ht="20.100000000000001" hidden="1" customHeight="1" x14ac:dyDescent="0.3">
      <c r="A125" s="6" t="s">
        <v>30</v>
      </c>
      <c r="B125" s="6" t="str">
        <f>IF(OR(data[[#This Row],[أسم العميل]]="اوسكار راتن",data[[#This Row],[أسم العميل]]="تاكى",data[[#This Row],[أسم العميل]]="شيك هومز"),"شركة","افراد")</f>
        <v>افراد</v>
      </c>
      <c r="C125" s="6" t="s">
        <v>31</v>
      </c>
      <c r="D125" s="6" t="s">
        <v>253</v>
      </c>
      <c r="E125" s="4" t="s">
        <v>32</v>
      </c>
      <c r="F125" s="4" t="s">
        <v>142</v>
      </c>
      <c r="G125" s="6" t="s">
        <v>137</v>
      </c>
      <c r="H125" s="6" t="s">
        <v>246</v>
      </c>
      <c r="I125" s="6" t="s">
        <v>246</v>
      </c>
      <c r="J125" s="6" t="s">
        <v>246</v>
      </c>
      <c r="K125" s="4" t="s">
        <v>246</v>
      </c>
      <c r="L125" s="6" t="s">
        <v>34</v>
      </c>
      <c r="M125" s="9">
        <v>16000</v>
      </c>
      <c r="N125" s="10">
        <v>16000</v>
      </c>
      <c r="O125" s="11" t="s">
        <v>267</v>
      </c>
      <c r="P125" s="19" t="str">
        <f>TEXT(data[[#This Row],[ميعاد الطلب]], "mmmm")</f>
        <v>-</v>
      </c>
      <c r="Q125" s="6" t="s">
        <v>267</v>
      </c>
      <c r="R125" s="6" t="s">
        <v>267</v>
      </c>
      <c r="S125" s="11" t="str" cm="1">
        <f t="array" ref="S125">_xlfn.IFS(
OR(data[[#This Row],[تاريخ التسليم]]="-",data[[#This Row],[ميعاد التسليم]]="-"),"غير محدد",
data[[#This Row],[ميعاد التسليم]] &lt;= data[[#This Row],[تاريخ التسليم]],"في الموعد",
TRUE,"متأخر"
)</f>
        <v>غير محدد</v>
      </c>
      <c r="T125" s="6" t="s">
        <v>162</v>
      </c>
      <c r="U125" s="4" t="s">
        <v>162</v>
      </c>
      <c r="V125" s="11" t="str">
        <f>TRIM(data[[#This Row],[المسئول عن التسليم]])</f>
        <v>فشل التسليم</v>
      </c>
    </row>
    <row r="126" spans="1:22" ht="20.100000000000001" hidden="1" customHeight="1" x14ac:dyDescent="0.3">
      <c r="A126" s="6" t="s">
        <v>68</v>
      </c>
      <c r="B126" s="6" t="str">
        <f>IF(OR(data[[#This Row],[أسم العميل]]="اوسكار راتن",data[[#This Row],[أسم العميل]]="تاكى",data[[#This Row],[أسم العميل]]="شيك هومز"),"شركة","افراد")</f>
        <v>شركة</v>
      </c>
      <c r="C126" s="6" t="s">
        <v>194</v>
      </c>
      <c r="D126" s="6" t="s">
        <v>253</v>
      </c>
      <c r="E126" s="6" t="s">
        <v>44</v>
      </c>
      <c r="F126" s="6" t="s">
        <v>129</v>
      </c>
      <c r="G126" s="6" t="s">
        <v>141</v>
      </c>
      <c r="H126" s="6" t="s">
        <v>192</v>
      </c>
      <c r="I126" s="9">
        <v>100</v>
      </c>
      <c r="J126" s="6" t="s">
        <v>193</v>
      </c>
      <c r="K126" s="6" t="s">
        <v>246</v>
      </c>
      <c r="L126" s="6"/>
      <c r="M126" s="9">
        <v>8544.91</v>
      </c>
      <c r="N126" s="10" t="s">
        <v>70</v>
      </c>
      <c r="O126" s="11">
        <v>45587</v>
      </c>
      <c r="P126" s="19" t="str">
        <f>TEXT(data[[#This Row],[ميعاد الطلب]], "mmmm")</f>
        <v>October</v>
      </c>
      <c r="Q126" s="6" t="s">
        <v>267</v>
      </c>
      <c r="R126" s="6" t="s">
        <v>267</v>
      </c>
      <c r="S126" s="11" t="str" cm="1">
        <f t="array" ref="S126">_xlfn.IFS(
OR(data[[#This Row],[تاريخ التسليم]]="-",data[[#This Row],[ميعاد التسليم]]="-"),"غير محدد",
data[[#This Row],[ميعاد التسليم]] &lt;= data[[#This Row],[تاريخ التسليم]],"في الموعد",
TRUE,"متأخر"
)</f>
        <v>غير محدد</v>
      </c>
      <c r="T126" s="6" t="s">
        <v>162</v>
      </c>
      <c r="U126" s="4" t="s">
        <v>162</v>
      </c>
      <c r="V126" s="51" t="str">
        <f>TRIM(data[[#This Row],[المسئول عن التسليم]])</f>
        <v>فشل التسليم</v>
      </c>
    </row>
    <row r="127" spans="1:22" x14ac:dyDescent="0.3">
      <c r="A127" s="20"/>
      <c r="B127" s="20"/>
      <c r="C127" s="20"/>
      <c r="D127" s="20"/>
      <c r="E127" s="20"/>
      <c r="F127" s="2"/>
      <c r="G127" s="20"/>
      <c r="H127" s="20"/>
      <c r="I127" s="21"/>
      <c r="J127" s="20"/>
      <c r="K127" s="20"/>
      <c r="L127" s="20"/>
      <c r="M127" s="21"/>
      <c r="N127" s="22"/>
      <c r="O127" s="23"/>
      <c r="P127" s="54"/>
      <c r="Q127" s="23"/>
      <c r="R127" s="20"/>
      <c r="S127" s="20"/>
      <c r="T127" s="20"/>
      <c r="U127" s="3"/>
    </row>
    <row r="128" spans="1:22" ht="20.100000000000001" customHeight="1" x14ac:dyDescent="0.3">
      <c r="A128" s="20"/>
      <c r="B128" s="20"/>
      <c r="C128" s="20"/>
      <c r="D128" s="20"/>
      <c r="E128" s="20"/>
      <c r="F128" s="2"/>
      <c r="G128" s="20"/>
      <c r="H128" s="20"/>
      <c r="I128" s="21"/>
      <c r="J128" s="20"/>
      <c r="K128" s="20"/>
      <c r="L128" s="20"/>
      <c r="M128" s="21"/>
      <c r="N128" s="22"/>
      <c r="O128" s="23"/>
      <c r="P128" s="54"/>
      <c r="Q128" s="23"/>
      <c r="R128" s="20"/>
      <c r="S128" s="20"/>
      <c r="T128" s="20"/>
      <c r="U128" s="3"/>
    </row>
    <row r="129" spans="1:21" ht="20.100000000000001" customHeight="1" x14ac:dyDescent="0.3">
      <c r="A129" s="20"/>
      <c r="B129" s="20"/>
      <c r="C129" s="20"/>
      <c r="D129" s="20"/>
      <c r="E129" s="20"/>
      <c r="F129" s="2"/>
      <c r="G129" s="20"/>
      <c r="H129" s="20"/>
      <c r="I129" s="21"/>
      <c r="J129" s="20"/>
      <c r="K129" s="20"/>
      <c r="L129" s="20"/>
      <c r="M129" s="21"/>
      <c r="N129" s="22"/>
      <c r="O129" s="23"/>
      <c r="P129" s="54"/>
      <c r="Q129" s="23"/>
      <c r="R129" s="20"/>
      <c r="S129" s="20"/>
      <c r="T129" s="20"/>
      <c r="U129" s="3"/>
    </row>
    <row r="130" spans="1:21" ht="20.100000000000001" customHeight="1" x14ac:dyDescent="0.3">
      <c r="A130" s="20"/>
      <c r="B130" s="20"/>
      <c r="C130" s="20"/>
      <c r="D130" s="20"/>
      <c r="E130" s="20"/>
      <c r="F130" s="2"/>
      <c r="G130" s="20"/>
      <c r="H130" s="20"/>
      <c r="I130" s="21"/>
      <c r="J130" s="20"/>
      <c r="K130" s="20"/>
      <c r="L130" s="20"/>
      <c r="M130" s="21"/>
      <c r="N130" s="22"/>
      <c r="O130" s="23"/>
      <c r="P130" s="54"/>
      <c r="Q130" s="23"/>
      <c r="R130" s="20"/>
      <c r="S130" s="20"/>
      <c r="T130" s="20"/>
      <c r="U130" s="3"/>
    </row>
    <row r="131" spans="1:21" ht="20.100000000000001" customHeight="1" x14ac:dyDescent="0.3">
      <c r="A131" s="20"/>
      <c r="B131" s="20" t="str" cm="1">
        <f t="array" ref="B131:B209">_xlfn.UNIQUE(A:A)</f>
        <v>أسم العميل</v>
      </c>
      <c r="C131" s="20"/>
      <c r="D131" s="20"/>
      <c r="E131" s="20"/>
      <c r="F131" s="2"/>
      <c r="G131" s="20"/>
      <c r="H131" s="20"/>
      <c r="I131" s="21"/>
      <c r="J131" s="20"/>
      <c r="K131" s="20"/>
      <c r="L131" s="20"/>
      <c r="M131" s="21"/>
      <c r="N131" s="22"/>
      <c r="O131" s="23"/>
      <c r="P131" s="54"/>
      <c r="Q131" s="23"/>
      <c r="R131" s="20"/>
      <c r="S131" s="20"/>
      <c r="T131" s="20"/>
      <c r="U131" s="3"/>
    </row>
    <row r="132" spans="1:21" ht="20.100000000000001" customHeight="1" x14ac:dyDescent="0.3">
      <c r="A132" s="20"/>
      <c r="B132" s="20" t="str">
        <v>شيك هومز</v>
      </c>
      <c r="C132" s="20"/>
      <c r="D132" s="20"/>
      <c r="E132" s="20"/>
      <c r="F132" s="2"/>
      <c r="G132" s="20"/>
      <c r="H132" s="20"/>
      <c r="I132" s="21"/>
      <c r="J132" s="20"/>
      <c r="K132" s="20"/>
      <c r="L132" s="20"/>
      <c r="M132" s="21"/>
      <c r="N132" s="22"/>
      <c r="O132" s="23"/>
      <c r="P132" s="54"/>
      <c r="Q132" s="23"/>
      <c r="R132" s="20"/>
      <c r="S132" s="20"/>
      <c r="T132" s="20"/>
      <c r="U132" s="3"/>
    </row>
    <row r="133" spans="1:21" ht="20.100000000000001" customHeight="1" x14ac:dyDescent="0.3">
      <c r="A133" s="20"/>
      <c r="B133" s="20" t="str">
        <v xml:space="preserve">احمد </v>
      </c>
      <c r="C133" s="20"/>
      <c r="D133" s="20"/>
      <c r="E133" s="20"/>
      <c r="F133" s="2"/>
      <c r="G133" s="20"/>
      <c r="H133" s="20"/>
      <c r="I133" s="21"/>
      <c r="J133" s="20"/>
      <c r="K133" s="20"/>
      <c r="L133" s="20"/>
      <c r="M133" s="21"/>
      <c r="N133" s="22"/>
      <c r="O133" s="23"/>
      <c r="P133" s="54"/>
      <c r="Q133" s="23"/>
      <c r="R133" s="20"/>
      <c r="S133" s="20"/>
      <c r="T133" s="20"/>
      <c r="U133" s="3"/>
    </row>
    <row r="134" spans="1:21" ht="20.100000000000001" customHeight="1" x14ac:dyDescent="0.3">
      <c r="A134" s="20"/>
      <c r="B134" s="20" t="str">
        <v xml:space="preserve">زينا </v>
      </c>
      <c r="C134" s="20"/>
      <c r="D134" s="20"/>
      <c r="E134" s="20"/>
      <c r="F134" s="2"/>
      <c r="G134" s="20"/>
      <c r="H134" s="20"/>
      <c r="I134" s="21"/>
      <c r="J134" s="20"/>
      <c r="K134" s="20"/>
      <c r="L134" s="20"/>
      <c r="M134" s="21"/>
      <c r="N134" s="22"/>
      <c r="O134" s="23"/>
      <c r="P134" s="54"/>
      <c r="Q134" s="23"/>
      <c r="R134" s="20"/>
      <c r="S134" s="20"/>
      <c r="T134" s="20"/>
      <c r="U134" s="3"/>
    </row>
    <row r="135" spans="1:21" ht="20.100000000000001" customHeight="1" x14ac:dyDescent="0.3">
      <c r="A135" s="20"/>
      <c r="B135" s="20" t="str">
        <v>تاكى</v>
      </c>
      <c r="C135" s="20"/>
      <c r="D135" s="20"/>
      <c r="E135" s="20"/>
      <c r="F135" s="2"/>
      <c r="G135" s="20"/>
      <c r="H135" s="20"/>
      <c r="I135" s="21"/>
      <c r="J135" s="20"/>
      <c r="K135" s="20"/>
      <c r="L135" s="20"/>
      <c r="M135" s="21"/>
      <c r="N135" s="22"/>
      <c r="O135" s="23"/>
      <c r="P135" s="54"/>
      <c r="Q135" s="23"/>
      <c r="R135" s="20"/>
      <c r="S135" s="20"/>
      <c r="T135" s="20"/>
      <c r="U135" s="3"/>
    </row>
    <row r="136" spans="1:21" ht="20.100000000000001" customHeight="1" x14ac:dyDescent="0.3">
      <c r="A136" s="20"/>
      <c r="B136" s="20" t="str">
        <v>yilmaz</v>
      </c>
      <c r="C136" s="20"/>
      <c r="D136" s="20"/>
      <c r="E136" s="20"/>
      <c r="F136" s="2"/>
      <c r="G136" s="20"/>
      <c r="H136" s="20"/>
      <c r="I136" s="21"/>
      <c r="J136" s="20"/>
      <c r="K136" s="20"/>
      <c r="L136" s="20"/>
      <c r="M136" s="21"/>
      <c r="N136" s="22"/>
      <c r="O136" s="23"/>
      <c r="P136" s="54"/>
      <c r="Q136" s="23"/>
      <c r="R136" s="20"/>
      <c r="S136" s="20"/>
      <c r="T136" s="20"/>
      <c r="U136" s="3"/>
    </row>
    <row r="137" spans="1:21" ht="20.100000000000001" customHeight="1" x14ac:dyDescent="0.3">
      <c r="A137" s="20"/>
      <c r="B137" s="20" t="str">
        <v>ساندرا</v>
      </c>
      <c r="C137" s="20"/>
      <c r="D137" s="20"/>
      <c r="E137" s="20"/>
      <c r="F137" s="2"/>
      <c r="G137" s="20"/>
      <c r="H137" s="20"/>
      <c r="I137" s="21"/>
      <c r="J137" s="20"/>
      <c r="K137" s="20"/>
      <c r="L137" s="20"/>
      <c r="M137" s="21"/>
      <c r="N137" s="22"/>
      <c r="O137" s="23"/>
      <c r="P137" s="54"/>
      <c r="Q137" s="23"/>
      <c r="R137" s="20"/>
      <c r="S137" s="20"/>
      <c r="T137" s="20"/>
      <c r="U137" s="3"/>
    </row>
    <row r="138" spans="1:21" ht="20.100000000000001" customHeight="1" x14ac:dyDescent="0.3">
      <c r="A138" s="20"/>
      <c r="B138" s="20" t="str">
        <v xml:space="preserve">احمد فخرى </v>
      </c>
      <c r="C138" s="20"/>
      <c r="D138" s="20"/>
      <c r="E138" s="20"/>
      <c r="F138" s="2"/>
      <c r="G138" s="20"/>
      <c r="H138" s="20"/>
      <c r="I138" s="21"/>
      <c r="J138" s="20"/>
      <c r="K138" s="20"/>
      <c r="L138" s="20"/>
      <c r="M138" s="21"/>
      <c r="N138" s="22"/>
      <c r="O138" s="23"/>
      <c r="P138" s="54"/>
      <c r="Q138" s="23"/>
      <c r="R138" s="20"/>
      <c r="S138" s="20"/>
      <c r="T138" s="20"/>
      <c r="U138" s="3"/>
    </row>
    <row r="139" spans="1:21" ht="20.100000000000001" customHeight="1" x14ac:dyDescent="0.3">
      <c r="A139" s="20"/>
      <c r="B139" s="20" t="str">
        <v xml:space="preserve">على رشوان </v>
      </c>
      <c r="C139" s="20"/>
      <c r="D139" s="20"/>
      <c r="E139" s="20"/>
      <c r="F139" s="2"/>
      <c r="G139" s="20"/>
      <c r="H139" s="20"/>
      <c r="I139" s="21"/>
      <c r="J139" s="20"/>
      <c r="K139" s="20"/>
      <c r="L139" s="20"/>
      <c r="M139" s="21"/>
      <c r="N139" s="22"/>
      <c r="O139" s="23"/>
      <c r="P139" s="54"/>
      <c r="Q139" s="23"/>
      <c r="R139" s="20"/>
      <c r="S139" s="20"/>
      <c r="T139" s="20"/>
      <c r="U139" s="3"/>
    </row>
    <row r="140" spans="1:21" ht="20.100000000000001" customHeight="1" x14ac:dyDescent="0.3">
      <c r="A140" s="20"/>
      <c r="B140" s="20" t="str">
        <v xml:space="preserve">لينا </v>
      </c>
      <c r="C140" s="20"/>
      <c r="D140" s="20"/>
      <c r="E140" s="20"/>
      <c r="F140" s="2"/>
      <c r="G140" s="20"/>
      <c r="H140" s="20"/>
      <c r="I140" s="21"/>
      <c r="J140" s="20"/>
      <c r="K140" s="20"/>
      <c r="L140" s="20"/>
      <c r="M140" s="21"/>
      <c r="N140" s="22"/>
      <c r="O140" s="23"/>
      <c r="P140" s="54"/>
      <c r="Q140" s="23"/>
      <c r="R140" s="20"/>
      <c r="S140" s="20"/>
      <c r="T140" s="20"/>
      <c r="U140" s="3"/>
    </row>
    <row r="141" spans="1:21" ht="20.100000000000001" customHeight="1" x14ac:dyDescent="0.3">
      <c r="A141" s="20"/>
      <c r="B141" s="20" t="str">
        <v xml:space="preserve">فيصل نعيم </v>
      </c>
      <c r="C141" s="20"/>
      <c r="D141" s="20"/>
      <c r="E141" s="20"/>
      <c r="F141" s="2"/>
      <c r="G141" s="20"/>
      <c r="H141" s="20"/>
      <c r="I141" s="21"/>
      <c r="J141" s="20"/>
      <c r="K141" s="20"/>
      <c r="L141" s="20"/>
      <c r="M141" s="21"/>
      <c r="N141" s="22"/>
      <c r="O141" s="23"/>
      <c r="P141" s="54"/>
      <c r="Q141" s="23"/>
      <c r="R141" s="20"/>
      <c r="S141" s="20"/>
      <c r="T141" s="20"/>
      <c r="U141" s="3"/>
    </row>
    <row r="142" spans="1:21" ht="20.100000000000001" customHeight="1" x14ac:dyDescent="0.3">
      <c r="A142" s="20"/>
      <c r="B142" s="20" t="str">
        <v>حسن حازم</v>
      </c>
      <c r="C142" s="20"/>
      <c r="D142" s="20"/>
      <c r="E142" s="20"/>
      <c r="F142" s="2"/>
      <c r="G142" s="20"/>
      <c r="H142" s="20"/>
      <c r="I142" s="21"/>
      <c r="J142" s="20"/>
      <c r="K142" s="20"/>
      <c r="L142" s="20"/>
      <c r="M142" s="21"/>
      <c r="N142" s="22"/>
      <c r="O142" s="23"/>
      <c r="P142" s="54"/>
      <c r="Q142" s="23"/>
      <c r="R142" s="20"/>
      <c r="S142" s="20"/>
      <c r="T142" s="20"/>
      <c r="U142" s="3"/>
    </row>
    <row r="143" spans="1:21" ht="20.100000000000001" customHeight="1" x14ac:dyDescent="0.3">
      <c r="A143" s="20"/>
      <c r="B143" s="20" t="str">
        <v>ellho elkafy</v>
      </c>
      <c r="C143" s="20"/>
      <c r="D143" s="20"/>
      <c r="E143" s="20"/>
      <c r="F143" s="2"/>
      <c r="G143" s="20"/>
      <c r="H143" s="20"/>
      <c r="I143" s="21"/>
      <c r="J143" s="20"/>
      <c r="K143" s="20"/>
      <c r="L143" s="20"/>
      <c r="M143" s="21"/>
      <c r="N143" s="22"/>
      <c r="O143" s="23"/>
      <c r="P143" s="54"/>
      <c r="Q143" s="23"/>
      <c r="R143" s="20"/>
      <c r="S143" s="20"/>
      <c r="T143" s="20"/>
      <c r="U143" s="3"/>
    </row>
    <row r="144" spans="1:21" ht="20.100000000000001" customHeight="1" x14ac:dyDescent="0.3">
      <c r="A144" s="20"/>
      <c r="B144" s="20" t="str">
        <v>اوسكار راتن</v>
      </c>
      <c r="C144" s="20"/>
      <c r="D144" s="20"/>
      <c r="E144" s="20"/>
      <c r="F144" s="2"/>
      <c r="G144" s="20"/>
      <c r="H144" s="20"/>
      <c r="I144" s="21"/>
      <c r="J144" s="20"/>
      <c r="K144" s="20"/>
      <c r="L144" s="20"/>
      <c r="M144" s="21"/>
      <c r="N144" s="22"/>
      <c r="O144" s="23"/>
      <c r="P144" s="54"/>
      <c r="Q144" s="23"/>
      <c r="R144" s="20"/>
      <c r="S144" s="20"/>
      <c r="T144" s="20"/>
      <c r="U144" s="3"/>
    </row>
    <row r="145" spans="1:21" ht="20.100000000000001" customHeight="1" x14ac:dyDescent="0.3">
      <c r="A145" s="20"/>
      <c r="B145" s="20" t="str">
        <v>صفاء الحكيم</v>
      </c>
      <c r="C145" s="20"/>
      <c r="D145" s="20"/>
      <c r="E145" s="20"/>
      <c r="F145" s="2"/>
      <c r="G145" s="20"/>
      <c r="H145" s="20"/>
      <c r="I145" s="21"/>
      <c r="J145" s="20"/>
      <c r="K145" s="20"/>
      <c r="L145" s="20"/>
      <c r="M145" s="21"/>
      <c r="N145" s="22"/>
      <c r="O145" s="23"/>
      <c r="P145" s="54"/>
      <c r="Q145" s="23"/>
      <c r="R145" s="20"/>
      <c r="S145" s="20"/>
      <c r="T145" s="20"/>
      <c r="U145" s="3"/>
    </row>
    <row r="146" spans="1:21" ht="20.100000000000001" customHeight="1" x14ac:dyDescent="0.3">
      <c r="A146" s="20"/>
      <c r="B146" s="20" t="str">
        <v>يوسف شناوى</v>
      </c>
      <c r="C146" s="20"/>
      <c r="D146" s="20"/>
      <c r="E146" s="20"/>
      <c r="F146" s="2"/>
      <c r="G146" s="20"/>
      <c r="H146" s="20"/>
      <c r="I146" s="21"/>
      <c r="J146" s="20"/>
      <c r="K146" s="20"/>
      <c r="L146" s="20"/>
      <c r="M146" s="21"/>
      <c r="N146" s="22"/>
      <c r="O146" s="23"/>
      <c r="P146" s="54"/>
      <c r="Q146" s="23"/>
      <c r="R146" s="20"/>
      <c r="S146" s="20"/>
      <c r="T146" s="20"/>
      <c r="U146" s="3"/>
    </row>
    <row r="147" spans="1:21" ht="20.100000000000001" customHeight="1" x14ac:dyDescent="0.3">
      <c r="A147" s="20"/>
      <c r="B147" s="20" t="str">
        <v xml:space="preserve">حاتم العيسوي </v>
      </c>
      <c r="C147" s="20"/>
      <c r="D147" s="20"/>
      <c r="E147" s="20"/>
      <c r="F147" s="2"/>
      <c r="G147" s="20"/>
      <c r="H147" s="20"/>
      <c r="I147" s="21"/>
      <c r="J147" s="20"/>
      <c r="K147" s="20"/>
      <c r="L147" s="20"/>
      <c r="M147" s="21"/>
      <c r="N147" s="22"/>
      <c r="O147" s="23"/>
      <c r="P147" s="54"/>
      <c r="Q147" s="23"/>
      <c r="R147" s="20"/>
      <c r="S147" s="20"/>
      <c r="T147" s="20"/>
      <c r="U147" s="3"/>
    </row>
    <row r="148" spans="1:21" ht="20.100000000000001" customHeight="1" x14ac:dyDescent="0.3">
      <c r="A148" s="20"/>
      <c r="B148" s="20" t="str">
        <v xml:space="preserve">رنا </v>
      </c>
      <c r="C148" s="20"/>
      <c r="D148" s="20"/>
      <c r="E148" s="20"/>
      <c r="F148" s="2"/>
      <c r="G148" s="20"/>
      <c r="H148" s="20"/>
      <c r="I148" s="21"/>
      <c r="J148" s="20"/>
      <c r="K148" s="20"/>
      <c r="L148" s="20"/>
      <c r="M148" s="21"/>
      <c r="N148" s="22"/>
      <c r="O148" s="23"/>
      <c r="P148" s="54"/>
      <c r="Q148" s="23"/>
      <c r="R148" s="20"/>
      <c r="S148" s="20"/>
      <c r="T148" s="20"/>
      <c r="U148" s="3"/>
    </row>
    <row r="149" spans="1:21" ht="20.100000000000001" customHeight="1" x14ac:dyDescent="0.3">
      <c r="A149" s="20"/>
      <c r="B149" s="20" t="str">
        <v>عبير نور الدين</v>
      </c>
      <c r="C149" s="20"/>
      <c r="D149" s="20"/>
      <c r="E149" s="20"/>
      <c r="F149" s="2"/>
      <c r="G149" s="20"/>
      <c r="H149" s="20"/>
      <c r="I149" s="21"/>
      <c r="J149" s="20"/>
      <c r="K149" s="20"/>
      <c r="L149" s="20"/>
      <c r="M149" s="21"/>
      <c r="N149" s="22"/>
      <c r="O149" s="23"/>
      <c r="P149" s="54"/>
      <c r="Q149" s="23"/>
      <c r="R149" s="20"/>
      <c r="S149" s="20"/>
      <c r="T149" s="20"/>
      <c r="U149" s="3"/>
    </row>
    <row r="150" spans="1:21" ht="20.100000000000001" customHeight="1" x14ac:dyDescent="0.3">
      <c r="A150" s="20"/>
      <c r="B150" s="20" t="str">
        <v xml:space="preserve">اسراء ابو العنين </v>
      </c>
      <c r="C150" s="20"/>
      <c r="D150" s="20"/>
      <c r="E150" s="20"/>
      <c r="F150" s="2"/>
      <c r="G150" s="20"/>
      <c r="H150" s="20"/>
      <c r="I150" s="21"/>
      <c r="J150" s="20"/>
      <c r="K150" s="20"/>
      <c r="L150" s="20"/>
      <c r="M150" s="21"/>
      <c r="N150" s="22"/>
      <c r="O150" s="23"/>
      <c r="P150" s="54"/>
      <c r="Q150" s="23"/>
      <c r="R150" s="20"/>
      <c r="S150" s="20"/>
      <c r="T150" s="20"/>
      <c r="U150" s="3"/>
    </row>
    <row r="151" spans="1:21" ht="20.100000000000001" customHeight="1" x14ac:dyDescent="0.3">
      <c r="A151" s="20"/>
      <c r="B151" s="20" t="str">
        <v>وائل صادق</v>
      </c>
      <c r="C151" s="20"/>
      <c r="D151" s="20"/>
      <c r="E151" s="20"/>
      <c r="F151" s="2"/>
      <c r="G151" s="20"/>
      <c r="H151" s="20"/>
      <c r="I151" s="21"/>
      <c r="J151" s="20"/>
      <c r="K151" s="20"/>
      <c r="L151" s="20"/>
      <c r="M151" s="21"/>
      <c r="N151" s="22"/>
      <c r="O151" s="23"/>
      <c r="P151" s="54"/>
      <c r="Q151" s="23"/>
      <c r="R151" s="20"/>
      <c r="S151" s="20"/>
      <c r="T151" s="20"/>
      <c r="U151" s="3"/>
    </row>
    <row r="152" spans="1:21" ht="20.100000000000001" customHeight="1" x14ac:dyDescent="0.3">
      <c r="A152" s="20"/>
      <c r="B152" s="20" t="str">
        <v xml:space="preserve">حسن مغرب </v>
      </c>
      <c r="C152" s="20"/>
      <c r="D152" s="20"/>
      <c r="E152" s="20"/>
      <c r="F152" s="2"/>
      <c r="G152" s="20"/>
      <c r="H152" s="20"/>
      <c r="I152" s="21"/>
      <c r="J152" s="20"/>
      <c r="K152" s="20"/>
      <c r="L152" s="20"/>
      <c r="M152" s="21"/>
      <c r="N152" s="22"/>
      <c r="O152" s="23"/>
      <c r="P152" s="54"/>
      <c r="Q152" s="23"/>
      <c r="R152" s="20"/>
      <c r="S152" s="20"/>
      <c r="T152" s="20"/>
      <c r="U152" s="3"/>
    </row>
    <row r="153" spans="1:21" ht="20.100000000000001" customHeight="1" x14ac:dyDescent="0.3">
      <c r="A153" s="20"/>
      <c r="B153" s="20" t="str">
        <v xml:space="preserve">على السيد </v>
      </c>
      <c r="C153" s="20"/>
      <c r="D153" s="20"/>
      <c r="E153" s="20"/>
      <c r="F153" s="2"/>
      <c r="G153" s="20"/>
      <c r="H153" s="20"/>
      <c r="I153" s="21"/>
      <c r="J153" s="20"/>
      <c r="K153" s="20"/>
      <c r="L153" s="20"/>
      <c r="M153" s="21"/>
      <c r="N153" s="22"/>
      <c r="O153" s="23"/>
      <c r="P153" s="54"/>
      <c r="Q153" s="23"/>
      <c r="R153" s="20"/>
      <c r="S153" s="20"/>
      <c r="T153" s="20"/>
      <c r="U153" s="3"/>
    </row>
    <row r="154" spans="1:21" ht="20.100000000000001" customHeight="1" x14ac:dyDescent="0.3">
      <c r="A154" s="20"/>
      <c r="B154" s="20" t="str">
        <v xml:space="preserve">هشام بسيونى </v>
      </c>
      <c r="C154" s="20"/>
      <c r="D154" s="20"/>
      <c r="E154" s="20"/>
      <c r="F154" s="2"/>
      <c r="G154" s="20"/>
      <c r="H154" s="20"/>
      <c r="I154" s="21"/>
      <c r="J154" s="20"/>
      <c r="K154" s="20"/>
      <c r="L154" s="20"/>
      <c r="M154" s="21"/>
      <c r="N154" s="22"/>
      <c r="O154" s="23"/>
      <c r="P154" s="54"/>
      <c r="Q154" s="23"/>
      <c r="R154" s="20"/>
      <c r="S154" s="20"/>
      <c r="T154" s="20"/>
      <c r="U154" s="3"/>
    </row>
    <row r="155" spans="1:21" ht="20.100000000000001" customHeight="1" x14ac:dyDescent="0.3">
      <c r="A155" s="20"/>
      <c r="B155" s="20" t="str">
        <v xml:space="preserve">ساره وجيه </v>
      </c>
      <c r="C155" s="20"/>
      <c r="D155" s="20"/>
      <c r="E155" s="20"/>
      <c r="F155" s="2"/>
      <c r="G155" s="20"/>
      <c r="H155" s="20"/>
      <c r="I155" s="21"/>
      <c r="J155" s="20"/>
      <c r="K155" s="20"/>
      <c r="L155" s="20"/>
      <c r="M155" s="21"/>
      <c r="N155" s="22"/>
      <c r="O155" s="23"/>
      <c r="P155" s="54"/>
      <c r="Q155" s="23"/>
      <c r="R155" s="20"/>
      <c r="S155" s="20"/>
      <c r="T155" s="20"/>
      <c r="U155" s="3"/>
    </row>
    <row r="156" spans="1:21" ht="20.100000000000001" customHeight="1" x14ac:dyDescent="0.3">
      <c r="A156" s="20"/>
      <c r="B156" s="20" t="str">
        <v xml:space="preserve">مها </v>
      </c>
      <c r="C156" s="20"/>
      <c r="D156" s="20"/>
      <c r="E156" s="20"/>
      <c r="F156" s="2"/>
      <c r="G156" s="20"/>
      <c r="H156" s="20"/>
      <c r="I156" s="21"/>
      <c r="J156" s="20"/>
      <c r="K156" s="20"/>
      <c r="L156" s="20"/>
      <c r="M156" s="21"/>
      <c r="N156" s="22"/>
      <c r="O156" s="23"/>
      <c r="P156" s="54"/>
      <c r="Q156" s="23"/>
      <c r="R156" s="20"/>
      <c r="S156" s="20"/>
      <c r="T156" s="20"/>
      <c r="U156" s="3"/>
    </row>
    <row r="157" spans="1:21" ht="20.100000000000001" customHeight="1" x14ac:dyDescent="0.3">
      <c r="A157" s="20"/>
      <c r="B157" s="20" t="str">
        <v xml:space="preserve">بسام الشربينى </v>
      </c>
      <c r="C157" s="20"/>
      <c r="D157" s="20"/>
      <c r="E157" s="20"/>
      <c r="F157" s="2"/>
      <c r="G157" s="20"/>
      <c r="H157" s="20"/>
      <c r="I157" s="21"/>
      <c r="J157" s="20"/>
      <c r="K157" s="20"/>
      <c r="L157" s="20"/>
      <c r="M157" s="21"/>
      <c r="N157" s="22"/>
      <c r="O157" s="23"/>
      <c r="P157" s="54"/>
      <c r="Q157" s="23"/>
      <c r="R157" s="20"/>
      <c r="S157" s="20"/>
      <c r="T157" s="20"/>
      <c r="U157" s="3"/>
    </row>
    <row r="158" spans="1:21" ht="20.100000000000001" customHeight="1" x14ac:dyDescent="0.3">
      <c r="A158" s="20"/>
      <c r="B158" s="20" t="str">
        <v xml:space="preserve">هبه عبد الفتاح </v>
      </c>
      <c r="C158" s="20"/>
      <c r="D158" s="20"/>
      <c r="E158" s="20"/>
      <c r="F158" s="2"/>
      <c r="G158" s="20"/>
      <c r="H158" s="20"/>
      <c r="I158" s="21"/>
      <c r="J158" s="20"/>
      <c r="K158" s="20"/>
      <c r="L158" s="20"/>
      <c r="M158" s="21"/>
      <c r="N158" s="22"/>
      <c r="O158" s="23"/>
      <c r="P158" s="54"/>
      <c r="Q158" s="23"/>
      <c r="R158" s="20"/>
      <c r="S158" s="20"/>
      <c r="T158" s="20"/>
      <c r="U158" s="3"/>
    </row>
    <row r="159" spans="1:21" ht="20.100000000000001" customHeight="1" x14ac:dyDescent="0.3">
      <c r="A159" s="20"/>
      <c r="B159" s="20" t="str">
        <v xml:space="preserve">اسراء ابراهيم </v>
      </c>
      <c r="C159" s="20"/>
      <c r="D159" s="20"/>
      <c r="E159" s="20"/>
      <c r="F159" s="2"/>
      <c r="G159" s="20"/>
      <c r="H159" s="20"/>
      <c r="I159" s="21"/>
      <c r="J159" s="20"/>
      <c r="K159" s="20"/>
      <c r="L159" s="20"/>
      <c r="M159" s="21"/>
      <c r="N159" s="22"/>
      <c r="O159" s="23"/>
      <c r="P159" s="54"/>
      <c r="Q159" s="23"/>
      <c r="R159" s="20"/>
      <c r="S159" s="20"/>
      <c r="T159" s="20"/>
      <c r="U159" s="3"/>
    </row>
    <row r="160" spans="1:21" ht="20.100000000000001" customHeight="1" x14ac:dyDescent="0.3">
      <c r="A160" s="20"/>
      <c r="B160" s="20" t="str">
        <v xml:space="preserve">طارق كمال </v>
      </c>
      <c r="C160" s="20"/>
      <c r="D160" s="20"/>
      <c r="E160" s="20"/>
      <c r="F160" s="2"/>
      <c r="G160" s="20"/>
      <c r="H160" s="20"/>
      <c r="I160" s="21"/>
      <c r="J160" s="20"/>
      <c r="K160" s="20"/>
      <c r="L160" s="20"/>
      <c r="M160" s="21"/>
      <c r="N160" s="22"/>
      <c r="O160" s="23"/>
      <c r="P160" s="54"/>
      <c r="Q160" s="23"/>
      <c r="R160" s="20"/>
      <c r="S160" s="20"/>
      <c r="T160" s="20"/>
      <c r="U160" s="3"/>
    </row>
    <row r="161" spans="1:21" ht="20.100000000000001" customHeight="1" x14ac:dyDescent="0.3">
      <c r="A161" s="20"/>
      <c r="B161" s="20" t="str">
        <v>الحج محمد السويس</v>
      </c>
      <c r="C161" s="20"/>
      <c r="D161" s="20"/>
      <c r="E161" s="20"/>
      <c r="F161" s="2"/>
      <c r="G161" s="20"/>
      <c r="H161" s="20"/>
      <c r="I161" s="21"/>
      <c r="J161" s="20"/>
      <c r="K161" s="20"/>
      <c r="L161" s="20"/>
      <c r="M161" s="21"/>
      <c r="N161" s="22"/>
      <c r="O161" s="23"/>
      <c r="P161" s="54"/>
      <c r="Q161" s="23"/>
      <c r="R161" s="20"/>
      <c r="S161" s="20"/>
      <c r="T161" s="20"/>
      <c r="U161" s="3"/>
    </row>
    <row r="162" spans="1:21" ht="20.100000000000001" customHeight="1" x14ac:dyDescent="0.3">
      <c r="A162" s="20"/>
      <c r="B162" s="20" t="str">
        <v>صفاء</v>
      </c>
      <c r="C162" s="20"/>
      <c r="D162" s="20"/>
      <c r="E162" s="20"/>
      <c r="F162" s="2"/>
      <c r="G162" s="20"/>
      <c r="H162" s="20"/>
      <c r="I162" s="21"/>
      <c r="J162" s="20"/>
      <c r="K162" s="20"/>
      <c r="L162" s="20"/>
      <c r="M162" s="21"/>
      <c r="N162" s="22"/>
      <c r="O162" s="23"/>
      <c r="P162" s="54"/>
      <c r="Q162" s="23"/>
      <c r="R162" s="20"/>
      <c r="S162" s="20"/>
      <c r="T162" s="20"/>
      <c r="U162" s="3"/>
    </row>
    <row r="163" spans="1:21" ht="20.100000000000001" customHeight="1" x14ac:dyDescent="0.3">
      <c r="A163" s="20"/>
      <c r="B163" s="20" t="str">
        <v xml:space="preserve">ديفد بهجت </v>
      </c>
      <c r="C163" s="20"/>
      <c r="D163" s="20"/>
      <c r="E163" s="20"/>
      <c r="F163" s="2"/>
      <c r="G163" s="20"/>
      <c r="H163" s="20"/>
      <c r="I163" s="21"/>
      <c r="J163" s="20"/>
      <c r="K163" s="20"/>
      <c r="L163" s="20"/>
      <c r="M163" s="21"/>
      <c r="N163" s="22"/>
      <c r="O163" s="23"/>
      <c r="P163" s="54"/>
      <c r="Q163" s="23"/>
      <c r="R163" s="20"/>
      <c r="S163" s="20"/>
      <c r="T163" s="20"/>
      <c r="U163" s="3"/>
    </row>
    <row r="164" spans="1:21" ht="20.100000000000001" customHeight="1" x14ac:dyDescent="0.3">
      <c r="A164" s="20"/>
      <c r="B164" s="20" t="str">
        <v xml:space="preserve">اياد </v>
      </c>
      <c r="C164" s="20"/>
      <c r="D164" s="20"/>
      <c r="E164" s="20"/>
      <c r="F164" s="2"/>
      <c r="G164" s="20"/>
      <c r="H164" s="20"/>
      <c r="I164" s="21"/>
      <c r="J164" s="20"/>
      <c r="K164" s="20"/>
      <c r="L164" s="20"/>
      <c r="M164" s="21"/>
      <c r="N164" s="22"/>
      <c r="O164" s="23"/>
      <c r="P164" s="54"/>
      <c r="Q164" s="23"/>
      <c r="R164" s="20"/>
      <c r="S164" s="20"/>
      <c r="T164" s="20"/>
      <c r="U164" s="3"/>
    </row>
    <row r="165" spans="1:21" ht="20.100000000000001" customHeight="1" x14ac:dyDescent="0.3">
      <c r="A165" s="20"/>
      <c r="B165" s="20" t="str">
        <v>ميار خورشد</v>
      </c>
      <c r="C165" s="20"/>
      <c r="D165" s="20"/>
      <c r="E165" s="20"/>
      <c r="F165" s="2"/>
      <c r="G165" s="20"/>
      <c r="H165" s="20"/>
      <c r="I165" s="21"/>
      <c r="J165" s="20"/>
      <c r="K165" s="20"/>
      <c r="L165" s="20"/>
      <c r="M165" s="21"/>
      <c r="N165" s="22"/>
      <c r="O165" s="23"/>
      <c r="P165" s="54"/>
      <c r="Q165" s="23"/>
      <c r="R165" s="20"/>
      <c r="S165" s="20"/>
      <c r="T165" s="20"/>
      <c r="U165" s="3"/>
    </row>
    <row r="166" spans="1:21" ht="20.100000000000001" customHeight="1" x14ac:dyDescent="0.3">
      <c r="A166" s="20"/>
      <c r="B166" s="20" t="str">
        <v xml:space="preserve">عبد الله سيد </v>
      </c>
      <c r="C166" s="20"/>
      <c r="D166" s="20"/>
      <c r="E166" s="20"/>
      <c r="F166" s="2"/>
      <c r="G166" s="20"/>
      <c r="H166" s="20"/>
      <c r="I166" s="21"/>
      <c r="J166" s="20"/>
      <c r="K166" s="20"/>
      <c r="L166" s="20"/>
      <c r="M166" s="21"/>
      <c r="N166" s="22"/>
      <c r="O166" s="23"/>
      <c r="P166" s="54"/>
      <c r="Q166" s="23"/>
      <c r="R166" s="20"/>
      <c r="S166" s="20"/>
      <c r="T166" s="20"/>
      <c r="U166" s="3"/>
    </row>
    <row r="167" spans="1:21" ht="20.100000000000001" customHeight="1" x14ac:dyDescent="0.3">
      <c r="A167" s="20"/>
      <c r="B167" s="20" t="str">
        <v xml:space="preserve">كينج سونا </v>
      </c>
      <c r="C167" s="20"/>
      <c r="D167" s="20"/>
      <c r="E167" s="20"/>
      <c r="F167" s="2"/>
      <c r="G167" s="20"/>
      <c r="H167" s="20"/>
      <c r="I167" s="21"/>
      <c r="J167" s="20"/>
      <c r="K167" s="20"/>
      <c r="L167" s="20"/>
      <c r="M167" s="21"/>
      <c r="N167" s="22"/>
      <c r="O167" s="23"/>
      <c r="P167" s="54"/>
      <c r="Q167" s="23"/>
      <c r="R167" s="20"/>
      <c r="S167" s="20"/>
      <c r="T167" s="20"/>
      <c r="U167" s="3"/>
    </row>
    <row r="168" spans="1:21" ht="20.100000000000001" customHeight="1" x14ac:dyDescent="0.3">
      <c r="A168" s="20"/>
      <c r="B168" s="20" t="str">
        <v xml:space="preserve">احمد خالد </v>
      </c>
      <c r="C168" s="20"/>
      <c r="D168" s="20"/>
      <c r="E168" s="20"/>
      <c r="F168" s="2"/>
      <c r="G168" s="20"/>
      <c r="H168" s="20"/>
      <c r="I168" s="21"/>
      <c r="J168" s="20"/>
      <c r="K168" s="20"/>
      <c r="L168" s="20"/>
      <c r="M168" s="21"/>
      <c r="N168" s="22"/>
      <c r="O168" s="23"/>
      <c r="P168" s="54"/>
      <c r="Q168" s="23"/>
      <c r="R168" s="20"/>
      <c r="S168" s="20"/>
      <c r="T168" s="20"/>
      <c r="U168" s="3"/>
    </row>
    <row r="169" spans="1:21" ht="20.100000000000001" customHeight="1" x14ac:dyDescent="0.3">
      <c r="A169" s="20"/>
      <c r="B169" s="20" t="str">
        <v>ساره</v>
      </c>
      <c r="C169" s="20"/>
      <c r="D169" s="20"/>
      <c r="E169" s="20"/>
      <c r="F169" s="2"/>
      <c r="G169" s="20"/>
      <c r="H169" s="20"/>
      <c r="I169" s="21"/>
      <c r="J169" s="20"/>
      <c r="K169" s="20"/>
      <c r="L169" s="20"/>
      <c r="M169" s="21"/>
      <c r="N169" s="22"/>
      <c r="O169" s="23"/>
      <c r="P169" s="54"/>
      <c r="Q169" s="23"/>
      <c r="R169" s="20"/>
      <c r="S169" s="20"/>
      <c r="T169" s="20"/>
      <c r="U169" s="3"/>
    </row>
    <row r="170" spans="1:21" ht="20.100000000000001" customHeight="1" x14ac:dyDescent="0.3">
      <c r="A170" s="20"/>
      <c r="B170" s="20" t="str">
        <v xml:space="preserve">احمد ايمن </v>
      </c>
      <c r="C170" s="20"/>
      <c r="D170" s="20"/>
      <c r="E170" s="20"/>
      <c r="F170" s="2"/>
      <c r="G170" s="20"/>
      <c r="H170" s="20"/>
      <c r="I170" s="21"/>
      <c r="J170" s="20"/>
      <c r="K170" s="20"/>
      <c r="L170" s="20"/>
      <c r="M170" s="21"/>
      <c r="N170" s="22"/>
      <c r="O170" s="23"/>
      <c r="P170" s="54"/>
      <c r="Q170" s="23"/>
      <c r="R170" s="20"/>
      <c r="S170" s="20"/>
      <c r="T170" s="20"/>
      <c r="U170" s="3"/>
    </row>
    <row r="171" spans="1:21" ht="20.100000000000001" customHeight="1" x14ac:dyDescent="0.3">
      <c r="A171" s="20"/>
      <c r="B171" s="20" t="str">
        <v>اسامه</v>
      </c>
      <c r="C171" s="20"/>
      <c r="D171" s="20"/>
      <c r="E171" s="20"/>
      <c r="F171" s="2"/>
      <c r="G171" s="20"/>
      <c r="H171" s="20"/>
      <c r="I171" s="21"/>
      <c r="J171" s="20"/>
      <c r="K171" s="20"/>
      <c r="L171" s="20"/>
      <c r="M171" s="21"/>
      <c r="N171" s="22"/>
      <c r="O171" s="23"/>
      <c r="P171" s="54"/>
      <c r="Q171" s="23"/>
      <c r="R171" s="20"/>
      <c r="S171" s="20"/>
      <c r="T171" s="20"/>
      <c r="U171" s="3"/>
    </row>
    <row r="172" spans="1:21" ht="20.100000000000001" customHeight="1" x14ac:dyDescent="0.3">
      <c r="A172" s="20"/>
      <c r="B172" s="20" t="str">
        <v>ولاء بدوى</v>
      </c>
      <c r="C172" s="20"/>
      <c r="D172" s="20"/>
      <c r="E172" s="20"/>
      <c r="F172" s="2"/>
      <c r="G172" s="20"/>
      <c r="H172" s="20"/>
      <c r="I172" s="21"/>
      <c r="J172" s="20"/>
      <c r="K172" s="20"/>
      <c r="L172" s="20"/>
      <c r="M172" s="21"/>
      <c r="N172" s="22"/>
      <c r="O172" s="23"/>
      <c r="P172" s="54"/>
      <c r="Q172" s="23"/>
      <c r="R172" s="20"/>
      <c r="S172" s="20"/>
      <c r="T172" s="20"/>
      <c r="U172" s="3"/>
    </row>
    <row r="173" spans="1:21" ht="20.100000000000001" customHeight="1" x14ac:dyDescent="0.3">
      <c r="A173" s="20"/>
      <c r="B173" s="20" t="str">
        <v>عبد الرحمن يسري</v>
      </c>
      <c r="C173" s="20"/>
      <c r="D173" s="20"/>
      <c r="E173" s="20"/>
      <c r="F173" s="2"/>
      <c r="G173" s="20"/>
      <c r="H173" s="20"/>
      <c r="I173" s="21"/>
      <c r="J173" s="20"/>
      <c r="K173" s="20"/>
      <c r="L173" s="20"/>
      <c r="M173" s="21"/>
      <c r="N173" s="22"/>
      <c r="O173" s="23"/>
      <c r="P173" s="54"/>
      <c r="Q173" s="23"/>
      <c r="R173" s="20"/>
      <c r="S173" s="20"/>
      <c r="T173" s="20"/>
      <c r="U173" s="3"/>
    </row>
    <row r="174" spans="1:21" ht="20.100000000000001" customHeight="1" x14ac:dyDescent="0.3">
      <c r="A174" s="20"/>
      <c r="B174" s="20" t="str">
        <v>بولا هومزمارت</v>
      </c>
      <c r="C174" s="20"/>
      <c r="D174" s="20"/>
      <c r="E174" s="20"/>
      <c r="F174" s="2"/>
      <c r="G174" s="20"/>
      <c r="H174" s="20"/>
      <c r="I174" s="21"/>
      <c r="J174" s="20"/>
      <c r="K174" s="20"/>
      <c r="L174" s="20"/>
      <c r="M174" s="21"/>
      <c r="N174" s="22"/>
      <c r="O174" s="23"/>
      <c r="P174" s="54"/>
      <c r="Q174" s="23"/>
      <c r="R174" s="20"/>
      <c r="S174" s="20"/>
      <c r="T174" s="20"/>
      <c r="U174" s="3"/>
    </row>
    <row r="175" spans="1:21" ht="20.100000000000001" customHeight="1" x14ac:dyDescent="0.3">
      <c r="A175" s="20"/>
      <c r="B175" s="20" t="str">
        <v>فاطمه محمد</v>
      </c>
      <c r="C175" s="20"/>
      <c r="D175" s="20"/>
      <c r="E175" s="20"/>
      <c r="F175" s="2"/>
      <c r="G175" s="20"/>
      <c r="H175" s="20"/>
      <c r="I175" s="21"/>
      <c r="J175" s="20"/>
      <c r="K175" s="20"/>
      <c r="L175" s="20"/>
      <c r="M175" s="21"/>
      <c r="N175" s="22"/>
      <c r="O175" s="23"/>
      <c r="P175" s="54"/>
      <c r="Q175" s="23"/>
      <c r="R175" s="20"/>
      <c r="S175" s="20"/>
      <c r="T175" s="20"/>
      <c r="U175" s="3"/>
    </row>
    <row r="176" spans="1:21" ht="20.100000000000001" customHeight="1" x14ac:dyDescent="0.3">
      <c r="A176" s="20"/>
      <c r="B176" s="20" t="str">
        <v>عمرو الأسود</v>
      </c>
      <c r="C176" s="20"/>
      <c r="D176" s="20"/>
      <c r="E176" s="20"/>
      <c r="F176" s="2"/>
      <c r="G176" s="20"/>
      <c r="H176" s="20"/>
      <c r="I176" s="21"/>
      <c r="J176" s="20"/>
      <c r="K176" s="20"/>
      <c r="L176" s="20"/>
      <c r="M176" s="21"/>
      <c r="N176" s="22"/>
      <c r="O176" s="23"/>
      <c r="P176" s="54"/>
      <c r="Q176" s="23"/>
      <c r="R176" s="20"/>
      <c r="S176" s="20"/>
      <c r="T176" s="20"/>
      <c r="U176" s="3"/>
    </row>
    <row r="177" spans="1:21" ht="20.100000000000001" customHeight="1" x14ac:dyDescent="0.3">
      <c r="A177" s="20"/>
      <c r="B177" s="20" t="str">
        <v>هشام سامى</v>
      </c>
      <c r="C177" s="20"/>
      <c r="D177" s="20"/>
      <c r="E177" s="20"/>
      <c r="F177" s="2"/>
      <c r="G177" s="20"/>
      <c r="H177" s="20"/>
      <c r="I177" s="21"/>
      <c r="J177" s="20"/>
      <c r="K177" s="20"/>
      <c r="L177" s="20"/>
      <c r="M177" s="21"/>
      <c r="N177" s="22"/>
      <c r="O177" s="23"/>
      <c r="P177" s="54"/>
      <c r="Q177" s="23"/>
      <c r="R177" s="20"/>
      <c r="S177" s="20"/>
      <c r="T177" s="20"/>
      <c r="U177" s="3"/>
    </row>
    <row r="178" spans="1:21" ht="20.100000000000001" customHeight="1" x14ac:dyDescent="0.3">
      <c r="A178" s="20"/>
      <c r="B178" s="20" t="str">
        <v xml:space="preserve">مصطفي غنيم </v>
      </c>
      <c r="C178" s="20"/>
      <c r="D178" s="20"/>
      <c r="E178" s="20"/>
      <c r="F178" s="2"/>
      <c r="G178" s="20"/>
      <c r="H178" s="20"/>
      <c r="I178" s="21"/>
      <c r="J178" s="20"/>
      <c r="K178" s="20"/>
      <c r="L178" s="20"/>
      <c r="M178" s="21"/>
      <c r="N178" s="22"/>
      <c r="O178" s="23"/>
      <c r="P178" s="54"/>
      <c r="Q178" s="23"/>
      <c r="R178" s="20"/>
      <c r="S178" s="20"/>
      <c r="T178" s="20"/>
      <c r="U178" s="3"/>
    </row>
    <row r="179" spans="1:21" ht="20.100000000000001" customHeight="1" x14ac:dyDescent="0.3">
      <c r="A179" s="20"/>
      <c r="B179" s="20" t="str">
        <v>حسام عبدون</v>
      </c>
      <c r="C179" s="20"/>
      <c r="D179" s="20"/>
      <c r="E179" s="20"/>
      <c r="F179" s="2"/>
      <c r="G179" s="20"/>
      <c r="H179" s="20"/>
      <c r="I179" s="21"/>
      <c r="J179" s="20"/>
      <c r="K179" s="20"/>
      <c r="L179" s="20"/>
      <c r="M179" s="21"/>
      <c r="N179" s="22"/>
      <c r="O179" s="23"/>
      <c r="P179" s="54"/>
      <c r="Q179" s="23"/>
      <c r="R179" s="20"/>
      <c r="S179" s="20"/>
      <c r="T179" s="20"/>
      <c r="U179" s="3"/>
    </row>
    <row r="180" spans="1:21" ht="20.100000000000001" customHeight="1" x14ac:dyDescent="0.3">
      <c r="A180" s="20"/>
      <c r="B180" s="20" t="str">
        <v xml:space="preserve">رامى </v>
      </c>
      <c r="C180" s="20"/>
      <c r="D180" s="20"/>
      <c r="E180" s="20"/>
      <c r="F180" s="2"/>
      <c r="G180" s="20"/>
      <c r="H180" s="20"/>
      <c r="I180" s="21"/>
      <c r="J180" s="20"/>
      <c r="K180" s="20"/>
      <c r="L180" s="20"/>
      <c r="M180" s="21"/>
      <c r="N180" s="22"/>
      <c r="O180" s="23"/>
      <c r="P180" s="54"/>
      <c r="Q180" s="23"/>
      <c r="R180" s="20"/>
      <c r="S180" s="20"/>
      <c r="T180" s="20"/>
      <c r="U180" s="3"/>
    </row>
    <row r="181" spans="1:21" ht="20.100000000000001" customHeight="1" x14ac:dyDescent="0.3">
      <c r="A181" s="20"/>
      <c r="B181" s="20" t="str">
        <v>رحاب</v>
      </c>
      <c r="C181" s="20"/>
      <c r="D181" s="20"/>
      <c r="E181" s="20"/>
      <c r="F181" s="2"/>
      <c r="G181" s="20"/>
      <c r="H181" s="20"/>
      <c r="I181" s="21"/>
      <c r="J181" s="20"/>
      <c r="K181" s="20"/>
      <c r="L181" s="20"/>
      <c r="M181" s="21"/>
      <c r="N181" s="22"/>
      <c r="O181" s="23"/>
      <c r="P181" s="54"/>
      <c r="Q181" s="23"/>
      <c r="R181" s="20"/>
      <c r="S181" s="20"/>
      <c r="T181" s="20"/>
      <c r="U181" s="3"/>
    </row>
    <row r="182" spans="1:21" ht="20.100000000000001" customHeight="1" x14ac:dyDescent="0.3">
      <c r="A182" s="20"/>
      <c r="B182" s="20" t="str">
        <v xml:space="preserve">فؤاد المنسي </v>
      </c>
      <c r="C182" s="20"/>
      <c r="D182" s="20"/>
      <c r="E182" s="20"/>
      <c r="F182" s="2"/>
      <c r="G182" s="20"/>
      <c r="H182" s="20"/>
      <c r="I182" s="21"/>
      <c r="J182" s="20"/>
      <c r="K182" s="20"/>
      <c r="L182" s="20"/>
      <c r="M182" s="21"/>
      <c r="N182" s="22"/>
      <c r="O182" s="23"/>
      <c r="P182" s="54"/>
      <c r="Q182" s="23"/>
      <c r="R182" s="20"/>
      <c r="S182" s="20"/>
      <c r="T182" s="20"/>
      <c r="U182" s="3"/>
    </row>
    <row r="183" spans="1:21" ht="20.100000000000001" customHeight="1" x14ac:dyDescent="0.3">
      <c r="A183" s="20"/>
      <c r="B183" s="20" t="str">
        <v>mohannad</v>
      </c>
      <c r="C183" s="20"/>
      <c r="D183" s="20"/>
      <c r="E183" s="20"/>
      <c r="F183" s="2"/>
      <c r="G183" s="20"/>
      <c r="H183" s="20"/>
      <c r="I183" s="21"/>
      <c r="J183" s="20"/>
      <c r="K183" s="20"/>
      <c r="L183" s="20"/>
      <c r="M183" s="21"/>
      <c r="N183" s="22"/>
      <c r="O183" s="23"/>
      <c r="P183" s="54"/>
      <c r="Q183" s="23"/>
      <c r="R183" s="20"/>
      <c r="S183" s="20"/>
      <c r="T183" s="20"/>
      <c r="U183" s="3"/>
    </row>
    <row r="184" spans="1:21" ht="20.100000000000001" customHeight="1" x14ac:dyDescent="0.3">
      <c r="A184" s="20"/>
      <c r="B184" s="20" t="str">
        <v>Mohamed Ayman</v>
      </c>
      <c r="C184" s="20"/>
      <c r="D184" s="20"/>
      <c r="E184" s="20"/>
      <c r="F184" s="2"/>
      <c r="G184" s="20"/>
      <c r="H184" s="20"/>
      <c r="I184" s="21"/>
      <c r="J184" s="20"/>
      <c r="K184" s="20"/>
      <c r="L184" s="20"/>
      <c r="M184" s="21"/>
      <c r="N184" s="22"/>
      <c r="O184" s="23"/>
      <c r="P184" s="54"/>
      <c r="Q184" s="23"/>
      <c r="R184" s="20"/>
      <c r="S184" s="20"/>
      <c r="T184" s="20"/>
      <c r="U184" s="3"/>
    </row>
    <row r="185" spans="1:21" ht="20.100000000000001" customHeight="1" x14ac:dyDescent="0.3">
      <c r="A185" s="20"/>
      <c r="B185" s="20" t="str">
        <v>منزلى</v>
      </c>
      <c r="C185" s="20"/>
      <c r="D185" s="20"/>
      <c r="E185" s="20"/>
      <c r="F185" s="2"/>
      <c r="G185" s="20"/>
      <c r="H185" s="20"/>
      <c r="I185" s="21"/>
      <c r="J185" s="20"/>
      <c r="K185" s="20"/>
      <c r="L185" s="20"/>
      <c r="M185" s="21"/>
      <c r="N185" s="22"/>
      <c r="O185" s="23"/>
      <c r="P185" s="54"/>
      <c r="Q185" s="23"/>
      <c r="R185" s="20"/>
      <c r="S185" s="20"/>
      <c r="T185" s="20"/>
      <c r="U185" s="3"/>
    </row>
    <row r="186" spans="1:21" ht="20.100000000000001" customHeight="1" x14ac:dyDescent="0.3">
      <c r="A186" s="20"/>
      <c r="B186" s="20" t="str">
        <v>حماده</v>
      </c>
      <c r="C186" s="20"/>
      <c r="D186" s="20"/>
      <c r="E186" s="20"/>
      <c r="F186" s="2"/>
      <c r="G186" s="20"/>
      <c r="H186" s="20"/>
      <c r="I186" s="21"/>
      <c r="J186" s="20"/>
      <c r="K186" s="20"/>
      <c r="L186" s="20"/>
      <c r="M186" s="21"/>
      <c r="N186" s="22"/>
      <c r="O186" s="23"/>
      <c r="P186" s="54"/>
      <c r="Q186" s="23"/>
      <c r="R186" s="20"/>
      <c r="S186" s="20"/>
      <c r="T186" s="20"/>
      <c r="U186" s="3"/>
    </row>
    <row r="187" spans="1:21" ht="20.100000000000001" customHeight="1" x14ac:dyDescent="0.3">
      <c r="A187" s="20"/>
      <c r="B187" s="20" t="str">
        <v xml:space="preserve">محمد شكرى </v>
      </c>
      <c r="C187" s="20"/>
      <c r="D187" s="20"/>
      <c r="E187" s="20"/>
      <c r="F187" s="2"/>
      <c r="G187" s="20"/>
      <c r="H187" s="20"/>
      <c r="I187" s="21"/>
      <c r="J187" s="20"/>
      <c r="K187" s="20"/>
      <c r="L187" s="20"/>
      <c r="M187" s="21"/>
      <c r="N187" s="22"/>
      <c r="O187" s="23"/>
      <c r="P187" s="54"/>
      <c r="Q187" s="23"/>
      <c r="R187" s="20"/>
      <c r="S187" s="20"/>
      <c r="T187" s="20"/>
      <c r="U187" s="3"/>
    </row>
    <row r="188" spans="1:21" ht="20.100000000000001" customHeight="1" x14ac:dyDescent="0.3">
      <c r="A188" s="20"/>
      <c r="B188" s="20" t="str">
        <v xml:space="preserve">رندا العامرى </v>
      </c>
      <c r="C188" s="20"/>
      <c r="D188" s="20"/>
      <c r="E188" s="20"/>
      <c r="F188" s="2"/>
      <c r="G188" s="20"/>
      <c r="H188" s="20"/>
      <c r="I188" s="21"/>
      <c r="J188" s="20"/>
      <c r="K188" s="20"/>
      <c r="L188" s="20"/>
      <c r="M188" s="21"/>
      <c r="N188" s="22"/>
      <c r="O188" s="23"/>
      <c r="P188" s="54"/>
      <c r="Q188" s="23"/>
      <c r="R188" s="20"/>
      <c r="S188" s="20"/>
      <c r="T188" s="20"/>
      <c r="U188" s="3"/>
    </row>
    <row r="189" spans="1:21" ht="20.100000000000001" customHeight="1" x14ac:dyDescent="0.3">
      <c r="A189" s="20"/>
      <c r="B189" s="20" t="str">
        <v>صفاء عبد الباقي</v>
      </c>
      <c r="C189" s="20"/>
      <c r="D189" s="20"/>
      <c r="E189" s="20"/>
      <c r="F189" s="2"/>
      <c r="G189" s="20"/>
      <c r="H189" s="20"/>
      <c r="I189" s="21"/>
      <c r="J189" s="20"/>
      <c r="K189" s="20"/>
      <c r="L189" s="20"/>
      <c r="M189" s="21"/>
      <c r="N189" s="22"/>
      <c r="O189" s="23"/>
      <c r="P189" s="54"/>
      <c r="Q189" s="23"/>
      <c r="R189" s="20"/>
      <c r="S189" s="20"/>
      <c r="T189" s="20"/>
      <c r="U189" s="3"/>
    </row>
    <row r="190" spans="1:21" ht="20.100000000000001" customHeight="1" x14ac:dyDescent="0.3">
      <c r="A190" s="20"/>
      <c r="B190" s="20" t="str">
        <v>محمد حمدى</v>
      </c>
      <c r="C190" s="20"/>
      <c r="D190" s="20"/>
      <c r="E190" s="20"/>
      <c r="F190" s="2"/>
      <c r="G190" s="20"/>
      <c r="H190" s="20"/>
      <c r="I190" s="21"/>
      <c r="J190" s="20"/>
      <c r="K190" s="20"/>
      <c r="L190" s="20"/>
      <c r="M190" s="21"/>
      <c r="N190" s="22"/>
      <c r="O190" s="23"/>
      <c r="P190" s="54"/>
      <c r="Q190" s="23"/>
      <c r="R190" s="20"/>
      <c r="S190" s="20"/>
      <c r="T190" s="20"/>
      <c r="U190" s="3"/>
    </row>
    <row r="191" spans="1:21" ht="20.100000000000001" customHeight="1" x14ac:dyDescent="0.3">
      <c r="A191" s="20"/>
      <c r="B191" s="20" t="str">
        <v xml:space="preserve">بافلى هانى </v>
      </c>
      <c r="C191" s="20"/>
      <c r="D191" s="20"/>
      <c r="E191" s="20"/>
      <c r="F191" s="2"/>
      <c r="G191" s="20"/>
      <c r="H191" s="20"/>
      <c r="I191" s="21"/>
      <c r="J191" s="20"/>
      <c r="K191" s="20"/>
      <c r="L191" s="20"/>
      <c r="M191" s="21"/>
      <c r="N191" s="22"/>
      <c r="O191" s="23"/>
      <c r="P191" s="54"/>
      <c r="Q191" s="23"/>
      <c r="R191" s="20"/>
      <c r="S191" s="20"/>
      <c r="T191" s="20"/>
      <c r="U191" s="3"/>
    </row>
    <row r="192" spans="1:21" ht="20.100000000000001" customHeight="1" x14ac:dyDescent="0.3">
      <c r="A192" s="20"/>
      <c r="B192" s="20" t="str">
        <v>رنا ميلاد</v>
      </c>
      <c r="C192" s="20"/>
      <c r="D192" s="20"/>
      <c r="E192" s="20"/>
      <c r="F192" s="2"/>
      <c r="G192" s="20"/>
      <c r="H192" s="20"/>
      <c r="I192" s="21"/>
      <c r="J192" s="20"/>
      <c r="K192" s="20"/>
      <c r="L192" s="20"/>
      <c r="M192" s="21"/>
      <c r="N192" s="22"/>
      <c r="O192" s="23"/>
      <c r="P192" s="54"/>
      <c r="Q192" s="23"/>
      <c r="R192" s="20"/>
      <c r="S192" s="20"/>
      <c r="T192" s="20"/>
      <c r="U192" s="3"/>
    </row>
    <row r="193" spans="1:21" ht="20.100000000000001" customHeight="1" x14ac:dyDescent="0.3">
      <c r="A193" s="20"/>
      <c r="B193" s="20" t="str">
        <v>محمد ناجى</v>
      </c>
      <c r="C193" s="20"/>
      <c r="D193" s="20"/>
      <c r="E193" s="20"/>
      <c r="F193" s="2"/>
      <c r="G193" s="20"/>
      <c r="H193" s="20"/>
      <c r="I193" s="21"/>
      <c r="J193" s="20"/>
      <c r="K193" s="20"/>
      <c r="L193" s="20"/>
      <c r="M193" s="21"/>
      <c r="N193" s="22"/>
      <c r="O193" s="23"/>
      <c r="P193" s="54"/>
      <c r="Q193" s="23"/>
      <c r="R193" s="20"/>
      <c r="S193" s="20"/>
      <c r="T193" s="20"/>
      <c r="U193" s="3"/>
    </row>
    <row r="194" spans="1:21" ht="20.100000000000001" customHeight="1" x14ac:dyDescent="0.3">
      <c r="A194" s="20"/>
      <c r="B194" s="20" t="str">
        <v xml:space="preserve">نور </v>
      </c>
      <c r="C194" s="20"/>
      <c r="D194" s="20"/>
      <c r="E194" s="20"/>
      <c r="F194" s="2"/>
      <c r="G194" s="20"/>
      <c r="H194" s="20"/>
      <c r="I194" s="21"/>
      <c r="J194" s="20"/>
      <c r="K194" s="20"/>
      <c r="L194" s="20"/>
      <c r="M194" s="21"/>
      <c r="N194" s="22"/>
      <c r="O194" s="23"/>
      <c r="P194" s="54"/>
      <c r="Q194" s="23"/>
      <c r="R194" s="20"/>
      <c r="S194" s="20"/>
      <c r="T194" s="20"/>
      <c r="U194" s="3"/>
    </row>
    <row r="195" spans="1:21" ht="20.100000000000001" customHeight="1" x14ac:dyDescent="0.3">
      <c r="A195" s="20"/>
      <c r="B195" s="20" t="str">
        <v>تامر</v>
      </c>
      <c r="C195" s="20"/>
      <c r="D195" s="20"/>
      <c r="E195" s="20"/>
      <c r="F195" s="2"/>
      <c r="G195" s="20"/>
      <c r="H195" s="20"/>
      <c r="I195" s="21"/>
      <c r="J195" s="20"/>
      <c r="K195" s="20"/>
      <c r="L195" s="20"/>
      <c r="M195" s="21"/>
      <c r="N195" s="22"/>
      <c r="O195" s="23"/>
      <c r="P195" s="54"/>
      <c r="Q195" s="23"/>
      <c r="R195" s="20"/>
      <c r="S195" s="20"/>
      <c r="T195" s="20"/>
      <c r="U195" s="3"/>
    </row>
    <row r="196" spans="1:21" ht="20.100000000000001" customHeight="1" x14ac:dyDescent="0.3">
      <c r="A196" s="20"/>
      <c r="B196" s="20" t="str">
        <v xml:space="preserve">محمد عادل </v>
      </c>
      <c r="C196" s="20"/>
      <c r="D196" s="20"/>
      <c r="E196" s="20"/>
      <c r="F196" s="2"/>
      <c r="G196" s="20"/>
      <c r="H196" s="20"/>
      <c r="I196" s="21"/>
      <c r="J196" s="20"/>
      <c r="K196" s="20"/>
      <c r="L196" s="20"/>
      <c r="M196" s="21"/>
      <c r="N196" s="22"/>
      <c r="O196" s="23"/>
      <c r="P196" s="54"/>
      <c r="Q196" s="23"/>
      <c r="R196" s="20"/>
      <c r="S196" s="20"/>
      <c r="T196" s="20"/>
      <c r="U196" s="3"/>
    </row>
    <row r="197" spans="1:21" ht="20.100000000000001" customHeight="1" x14ac:dyDescent="0.3">
      <c r="A197" s="20"/>
      <c r="B197" s="20" t="str">
        <v>احمد عبد الستار</v>
      </c>
      <c r="C197" s="20"/>
      <c r="D197" s="20"/>
      <c r="E197" s="20"/>
      <c r="F197" s="2"/>
      <c r="G197" s="20"/>
      <c r="H197" s="20"/>
      <c r="I197" s="21"/>
      <c r="J197" s="20"/>
      <c r="K197" s="20"/>
      <c r="L197" s="20"/>
      <c r="M197" s="21"/>
      <c r="N197" s="22"/>
      <c r="O197" s="23"/>
      <c r="P197" s="54"/>
      <c r="Q197" s="23"/>
      <c r="R197" s="20"/>
      <c r="S197" s="20"/>
      <c r="T197" s="20"/>
      <c r="U197" s="3"/>
    </row>
    <row r="198" spans="1:21" ht="20.100000000000001" customHeight="1" x14ac:dyDescent="0.3">
      <c r="A198" s="20"/>
      <c r="B198" s="20" t="str">
        <v>keira</v>
      </c>
      <c r="C198" s="20"/>
      <c r="D198" s="20"/>
      <c r="E198" s="20"/>
      <c r="F198" s="2"/>
      <c r="G198" s="20"/>
      <c r="H198" s="20"/>
      <c r="I198" s="21"/>
      <c r="J198" s="20"/>
      <c r="K198" s="20"/>
      <c r="L198" s="20"/>
      <c r="M198" s="21"/>
      <c r="N198" s="22"/>
      <c r="O198" s="23"/>
      <c r="P198" s="54"/>
      <c r="Q198" s="23"/>
      <c r="R198" s="20"/>
      <c r="S198" s="20"/>
      <c r="T198" s="20"/>
      <c r="U198" s="3"/>
    </row>
    <row r="199" spans="1:21" ht="20.100000000000001" customHeight="1" x14ac:dyDescent="0.3">
      <c r="A199" s="20"/>
      <c r="B199" s="20" t="str">
        <v>هناء اسامه</v>
      </c>
      <c r="C199" s="20"/>
      <c r="D199" s="20"/>
      <c r="E199" s="20"/>
      <c r="F199" s="2"/>
      <c r="G199" s="20"/>
      <c r="H199" s="20"/>
      <c r="I199" s="21"/>
      <c r="J199" s="20"/>
      <c r="K199" s="20"/>
      <c r="L199" s="20"/>
      <c r="M199" s="21"/>
      <c r="N199" s="22"/>
      <c r="O199" s="23"/>
      <c r="P199" s="54"/>
      <c r="Q199" s="23"/>
      <c r="R199" s="20"/>
      <c r="S199" s="20"/>
      <c r="T199" s="20"/>
      <c r="U199" s="3"/>
    </row>
    <row r="200" spans="1:21" ht="20.100000000000001" customHeight="1" x14ac:dyDescent="0.3">
      <c r="A200" s="20"/>
      <c r="B200" s="20" t="str">
        <v>tarek</v>
      </c>
      <c r="C200" s="20"/>
      <c r="D200" s="20"/>
      <c r="E200" s="20"/>
      <c r="F200" s="2"/>
      <c r="G200" s="20"/>
      <c r="H200" s="20"/>
      <c r="I200" s="21"/>
      <c r="J200" s="20"/>
      <c r="K200" s="20"/>
      <c r="L200" s="20"/>
      <c r="M200" s="21"/>
      <c r="N200" s="22"/>
      <c r="O200" s="23"/>
      <c r="P200" s="54"/>
      <c r="Q200" s="23"/>
      <c r="R200" s="20"/>
      <c r="S200" s="20"/>
      <c r="T200" s="20"/>
      <c r="U200" s="3"/>
    </row>
    <row r="201" spans="1:21" ht="20.100000000000001" customHeight="1" x14ac:dyDescent="0.3">
      <c r="A201" s="20"/>
      <c r="B201" s="20" t="str">
        <v>reem</v>
      </c>
      <c r="C201" s="20"/>
      <c r="D201" s="20"/>
      <c r="E201" s="20"/>
      <c r="F201" s="2"/>
      <c r="G201" s="20"/>
      <c r="H201" s="20"/>
      <c r="I201" s="21"/>
      <c r="J201" s="20"/>
      <c r="K201" s="20"/>
      <c r="L201" s="20"/>
      <c r="M201" s="21"/>
      <c r="N201" s="22"/>
      <c r="O201" s="23"/>
      <c r="P201" s="54"/>
      <c r="Q201" s="23"/>
      <c r="R201" s="20"/>
      <c r="S201" s="20"/>
      <c r="T201" s="20"/>
      <c r="U201" s="3"/>
    </row>
    <row r="202" spans="1:21" ht="20.100000000000001" customHeight="1" x14ac:dyDescent="0.3">
      <c r="A202" s="20"/>
      <c r="B202" s="20" t="str">
        <v xml:space="preserve">هبه عطيه </v>
      </c>
      <c r="C202" s="20"/>
      <c r="D202" s="20"/>
      <c r="E202" s="20"/>
      <c r="F202" s="2"/>
      <c r="G202" s="20"/>
      <c r="H202" s="20"/>
      <c r="I202" s="21"/>
      <c r="J202" s="20"/>
      <c r="K202" s="20"/>
      <c r="L202" s="20"/>
      <c r="M202" s="21"/>
      <c r="N202" s="22"/>
      <c r="O202" s="23"/>
      <c r="P202" s="54"/>
      <c r="Q202" s="23"/>
      <c r="R202" s="20"/>
      <c r="S202" s="20"/>
      <c r="T202" s="20"/>
      <c r="U202" s="3"/>
    </row>
    <row r="203" spans="1:21" ht="20.100000000000001" customHeight="1" x14ac:dyDescent="0.3">
      <c r="A203" s="20"/>
      <c r="B203" s="20" t="str">
        <v>حمدى ذكرى</v>
      </c>
      <c r="C203" s="20"/>
      <c r="D203" s="20"/>
      <c r="E203" s="20"/>
      <c r="F203" s="2"/>
      <c r="G203" s="20"/>
      <c r="H203" s="20"/>
      <c r="I203" s="21"/>
      <c r="J203" s="20"/>
      <c r="K203" s="20"/>
      <c r="L203" s="20"/>
      <c r="M203" s="21"/>
      <c r="N203" s="22"/>
      <c r="O203" s="23"/>
      <c r="P203" s="54"/>
      <c r="Q203" s="23"/>
      <c r="R203" s="20"/>
      <c r="S203" s="20"/>
      <c r="T203" s="20"/>
      <c r="U203" s="3"/>
    </row>
    <row r="204" spans="1:21" ht="20.100000000000001" customHeight="1" x14ac:dyDescent="0.3">
      <c r="A204" s="20"/>
      <c r="B204" s="20" t="str">
        <v>مريم عنان</v>
      </c>
      <c r="C204" s="20"/>
      <c r="D204" s="20"/>
      <c r="E204" s="20"/>
      <c r="F204" s="2"/>
      <c r="G204" s="20"/>
      <c r="H204" s="20"/>
      <c r="I204" s="21"/>
      <c r="J204" s="20"/>
      <c r="K204" s="20"/>
      <c r="L204" s="20"/>
      <c r="M204" s="21"/>
      <c r="N204" s="22"/>
      <c r="O204" s="23"/>
      <c r="P204" s="54"/>
      <c r="Q204" s="23"/>
      <c r="R204" s="20"/>
      <c r="S204" s="20"/>
      <c r="T204" s="20"/>
      <c r="U204" s="3"/>
    </row>
    <row r="205" spans="1:21" ht="20.100000000000001" customHeight="1" x14ac:dyDescent="0.3">
      <c r="A205" s="20"/>
      <c r="B205" s="20" t="str">
        <v xml:space="preserve">خالد عبد القوى </v>
      </c>
      <c r="C205" s="20"/>
      <c r="D205" s="20"/>
      <c r="E205" s="20"/>
      <c r="F205" s="2"/>
      <c r="G205" s="20"/>
      <c r="H205" s="20"/>
      <c r="I205" s="21"/>
      <c r="J205" s="20"/>
      <c r="K205" s="20"/>
      <c r="L205" s="20"/>
      <c r="M205" s="21"/>
      <c r="N205" s="22"/>
      <c r="O205" s="23"/>
      <c r="P205" s="54"/>
      <c r="Q205" s="23"/>
      <c r="R205" s="20"/>
      <c r="S205" s="20"/>
      <c r="T205" s="20"/>
      <c r="U205" s="3"/>
    </row>
    <row r="206" spans="1:21" ht="20.100000000000001" customHeight="1" x14ac:dyDescent="0.3">
      <c r="A206" s="20"/>
      <c r="B206" s="20" t="str">
        <v>محمود</v>
      </c>
      <c r="C206" s="20"/>
      <c r="D206" s="20"/>
      <c r="E206" s="20"/>
      <c r="F206" s="2"/>
      <c r="G206" s="20"/>
      <c r="H206" s="20"/>
      <c r="I206" s="21"/>
      <c r="J206" s="20"/>
      <c r="K206" s="20"/>
      <c r="L206" s="20"/>
      <c r="M206" s="21"/>
      <c r="N206" s="22"/>
      <c r="O206" s="23"/>
      <c r="P206" s="54"/>
      <c r="Q206" s="23"/>
      <c r="R206" s="20"/>
      <c r="S206" s="20"/>
      <c r="T206" s="20"/>
      <c r="U206" s="3"/>
    </row>
    <row r="207" spans="1:21" ht="20.100000000000001" customHeight="1" x14ac:dyDescent="0.3">
      <c r="A207" s="20"/>
      <c r="B207" s="20" t="str">
        <v>سعيد</v>
      </c>
      <c r="C207" s="20"/>
      <c r="D207" s="20"/>
      <c r="E207" s="20"/>
      <c r="F207" s="2"/>
      <c r="G207" s="20"/>
      <c r="H207" s="20"/>
      <c r="I207" s="21"/>
      <c r="J207" s="20"/>
      <c r="K207" s="20"/>
      <c r="L207" s="20"/>
      <c r="M207" s="21"/>
      <c r="N207" s="22"/>
      <c r="O207" s="23"/>
      <c r="P207" s="54"/>
      <c r="Q207" s="23"/>
      <c r="R207" s="20"/>
      <c r="S207" s="20"/>
      <c r="T207" s="20"/>
      <c r="U207" s="3"/>
    </row>
    <row r="208" spans="1:21" ht="20.100000000000001" customHeight="1" x14ac:dyDescent="0.3">
      <c r="A208" s="20"/>
      <c r="B208" s="20" t="str">
        <v xml:space="preserve">تاكى </v>
      </c>
      <c r="C208" s="20"/>
      <c r="D208" s="20"/>
      <c r="E208" s="20"/>
      <c r="F208" s="2"/>
      <c r="G208" s="20"/>
      <c r="H208" s="20"/>
      <c r="I208" s="21"/>
      <c r="J208" s="20"/>
      <c r="K208" s="20"/>
      <c r="L208" s="20"/>
      <c r="M208" s="21"/>
      <c r="N208" s="22"/>
      <c r="O208" s="23"/>
      <c r="P208" s="54"/>
      <c r="Q208" s="23"/>
      <c r="R208" s="20"/>
      <c r="S208" s="20"/>
      <c r="T208" s="20"/>
      <c r="U208" s="3"/>
    </row>
    <row r="209" spans="1:21" ht="20.100000000000001" customHeight="1" x14ac:dyDescent="0.3">
      <c r="A209" s="20"/>
      <c r="B209" s="20">
        <v>0</v>
      </c>
      <c r="C209" s="20"/>
      <c r="D209" s="20"/>
      <c r="E209" s="20"/>
      <c r="F209" s="2"/>
      <c r="G209" s="20"/>
      <c r="H209" s="20"/>
      <c r="I209" s="21"/>
      <c r="J209" s="20"/>
      <c r="K209" s="20"/>
      <c r="L209" s="20"/>
      <c r="M209" s="21"/>
      <c r="N209" s="22"/>
      <c r="O209" s="23"/>
      <c r="P209" s="54"/>
      <c r="Q209" s="23"/>
      <c r="R209" s="20"/>
      <c r="S209" s="20"/>
      <c r="T209" s="20"/>
      <c r="U209" s="3"/>
    </row>
    <row r="210" spans="1:21" ht="20.100000000000001" customHeight="1" x14ac:dyDescent="0.3">
      <c r="A210" s="20"/>
      <c r="B210" s="20"/>
      <c r="C210" s="20"/>
      <c r="D210" s="20"/>
      <c r="E210" s="20"/>
      <c r="F210" s="2"/>
      <c r="G210" s="20"/>
      <c r="H210" s="20"/>
      <c r="I210" s="21"/>
      <c r="J210" s="20"/>
      <c r="K210" s="20"/>
      <c r="L210" s="20"/>
      <c r="M210" s="21"/>
      <c r="N210" s="22"/>
      <c r="O210" s="23"/>
      <c r="P210" s="54"/>
      <c r="Q210" s="23"/>
      <c r="R210" s="20"/>
      <c r="S210" s="20"/>
      <c r="T210" s="20"/>
      <c r="U210" s="3"/>
    </row>
    <row r="211" spans="1:21" ht="20.100000000000001" customHeight="1" x14ac:dyDescent="0.3">
      <c r="A211" s="20"/>
      <c r="B211" s="20"/>
      <c r="C211" s="20"/>
      <c r="D211" s="20"/>
      <c r="E211" s="20"/>
      <c r="F211" s="2"/>
      <c r="G211" s="20"/>
      <c r="H211" s="20"/>
      <c r="I211" s="21"/>
      <c r="J211" s="20"/>
      <c r="K211" s="20"/>
      <c r="L211" s="20"/>
      <c r="M211" s="21"/>
      <c r="N211" s="22"/>
      <c r="O211" s="23"/>
      <c r="P211" s="54"/>
      <c r="Q211" s="23"/>
      <c r="R211" s="20"/>
      <c r="S211" s="20"/>
      <c r="T211" s="20"/>
      <c r="U211" s="3"/>
    </row>
    <row r="212" spans="1:21" ht="20.100000000000001" customHeight="1" x14ac:dyDescent="0.3">
      <c r="A212" s="20"/>
      <c r="B212" s="20"/>
      <c r="C212" s="20"/>
      <c r="D212" s="20"/>
      <c r="E212" s="20"/>
      <c r="F212" s="2"/>
      <c r="G212" s="20"/>
      <c r="H212" s="20"/>
      <c r="I212" s="21"/>
      <c r="J212" s="20"/>
      <c r="K212" s="20"/>
      <c r="L212" s="20"/>
      <c r="M212" s="21"/>
      <c r="N212" s="22"/>
      <c r="O212" s="23"/>
      <c r="P212" s="54"/>
      <c r="Q212" s="23"/>
      <c r="R212" s="20"/>
      <c r="S212" s="20"/>
      <c r="T212" s="20"/>
      <c r="U212" s="3"/>
    </row>
    <row r="213" spans="1:21" ht="20.100000000000001" customHeight="1" x14ac:dyDescent="0.3">
      <c r="A213" s="20"/>
      <c r="B213" s="20"/>
      <c r="C213" s="20"/>
      <c r="D213" s="20"/>
      <c r="E213" s="20"/>
      <c r="F213" s="2"/>
      <c r="G213" s="20"/>
      <c r="H213" s="20"/>
      <c r="I213" s="21"/>
      <c r="J213" s="20"/>
      <c r="K213" s="20"/>
      <c r="L213" s="20"/>
      <c r="M213" s="21"/>
      <c r="N213" s="22"/>
      <c r="O213" s="23"/>
      <c r="P213" s="54"/>
      <c r="Q213" s="23"/>
      <c r="R213" s="20"/>
      <c r="S213" s="20"/>
      <c r="T213" s="20"/>
      <c r="U213" s="3"/>
    </row>
    <row r="214" spans="1:21" ht="20.100000000000001" customHeight="1" x14ac:dyDescent="0.3">
      <c r="A214" s="20"/>
      <c r="B214" s="20"/>
      <c r="C214" s="20"/>
      <c r="D214" s="20"/>
      <c r="E214" s="20"/>
      <c r="F214" s="2"/>
      <c r="G214" s="20"/>
      <c r="H214" s="20"/>
      <c r="I214" s="21"/>
      <c r="J214" s="20"/>
      <c r="K214" s="20"/>
      <c r="L214" s="20"/>
      <c r="M214" s="21"/>
      <c r="N214" s="22"/>
      <c r="O214" s="23"/>
      <c r="P214" s="54"/>
      <c r="Q214" s="23"/>
      <c r="R214" s="20"/>
      <c r="S214" s="20"/>
      <c r="T214" s="20"/>
      <c r="U214" s="3"/>
    </row>
    <row r="215" spans="1:21" ht="20.100000000000001" customHeight="1" x14ac:dyDescent="0.3">
      <c r="A215" s="20"/>
      <c r="B215" s="20"/>
      <c r="C215" s="20"/>
      <c r="D215" s="20"/>
      <c r="E215" s="20"/>
      <c r="F215" s="2"/>
      <c r="G215" s="20"/>
      <c r="H215" s="20"/>
      <c r="I215" s="21"/>
      <c r="J215" s="20"/>
      <c r="K215" s="20"/>
      <c r="L215" s="20"/>
      <c r="M215" s="21"/>
      <c r="N215" s="22"/>
      <c r="O215" s="23"/>
      <c r="P215" s="54"/>
      <c r="Q215" s="23"/>
      <c r="R215" s="20"/>
      <c r="S215" s="20"/>
      <c r="T215" s="20"/>
      <c r="U215" s="3"/>
    </row>
    <row r="216" spans="1:21" ht="20.100000000000001" customHeight="1" x14ac:dyDescent="0.3">
      <c r="A216" s="20"/>
      <c r="B216" s="20"/>
      <c r="C216" s="20"/>
      <c r="D216" s="20"/>
      <c r="E216" s="20"/>
      <c r="F216" s="2"/>
      <c r="G216" s="20"/>
      <c r="H216" s="20"/>
      <c r="I216" s="21"/>
      <c r="J216" s="20"/>
      <c r="K216" s="20"/>
      <c r="L216" s="20"/>
      <c r="M216" s="21"/>
      <c r="N216" s="22"/>
      <c r="O216" s="23"/>
      <c r="P216" s="54"/>
      <c r="Q216" s="23"/>
      <c r="R216" s="20"/>
      <c r="S216" s="20"/>
      <c r="T216" s="20"/>
      <c r="U216" s="3"/>
    </row>
    <row r="217" spans="1:21" ht="20.100000000000001" customHeight="1" x14ac:dyDescent="0.3">
      <c r="A217" s="20"/>
      <c r="B217" s="20"/>
      <c r="C217" s="20"/>
      <c r="D217" s="20"/>
      <c r="E217" s="20"/>
      <c r="F217" s="2"/>
      <c r="G217" s="20"/>
      <c r="H217" s="20"/>
      <c r="I217" s="21"/>
      <c r="J217" s="20"/>
      <c r="K217" s="20"/>
      <c r="L217" s="20"/>
      <c r="M217" s="21"/>
      <c r="N217" s="22"/>
      <c r="O217" s="23"/>
      <c r="P217" s="54"/>
      <c r="Q217" s="23"/>
      <c r="R217" s="20"/>
      <c r="S217" s="20"/>
      <c r="T217" s="20"/>
      <c r="U217" s="3"/>
    </row>
    <row r="218" spans="1:21" ht="20.100000000000001" customHeight="1" x14ac:dyDescent="0.3">
      <c r="A218" s="20"/>
      <c r="B218" s="20"/>
      <c r="C218" s="20"/>
      <c r="D218" s="20"/>
      <c r="E218" s="20"/>
      <c r="F218" s="2"/>
      <c r="G218" s="20"/>
      <c r="H218" s="20"/>
      <c r="I218" s="21"/>
      <c r="J218" s="20"/>
      <c r="K218" s="20"/>
      <c r="L218" s="20"/>
      <c r="M218" s="21"/>
      <c r="N218" s="22"/>
      <c r="O218" s="23"/>
      <c r="P218" s="54"/>
      <c r="Q218" s="23"/>
      <c r="R218" s="20"/>
      <c r="S218" s="20"/>
      <c r="T218" s="20"/>
      <c r="U218" s="3"/>
    </row>
    <row r="219" spans="1:21" ht="20.100000000000001" customHeight="1" x14ac:dyDescent="0.3">
      <c r="A219" s="20"/>
      <c r="B219" s="20"/>
      <c r="C219" s="20"/>
      <c r="D219" s="20"/>
      <c r="E219" s="20"/>
      <c r="F219" s="2"/>
      <c r="G219" s="20"/>
      <c r="H219" s="20"/>
      <c r="I219" s="21"/>
      <c r="J219" s="20"/>
      <c r="K219" s="20"/>
      <c r="L219" s="20"/>
      <c r="M219" s="21"/>
      <c r="N219" s="22"/>
      <c r="O219" s="23"/>
      <c r="P219" s="54"/>
      <c r="Q219" s="23"/>
      <c r="R219" s="20"/>
      <c r="S219" s="20"/>
      <c r="T219" s="20"/>
      <c r="U219" s="3"/>
    </row>
    <row r="220" spans="1:21" ht="20.100000000000001" customHeight="1" x14ac:dyDescent="0.3">
      <c r="A220" s="20"/>
      <c r="B220" s="20"/>
      <c r="C220" s="20"/>
      <c r="D220" s="20"/>
      <c r="E220" s="20"/>
      <c r="F220" s="2"/>
      <c r="G220" s="20"/>
      <c r="H220" s="20"/>
      <c r="I220" s="21"/>
      <c r="J220" s="20"/>
      <c r="K220" s="20"/>
      <c r="L220" s="20"/>
      <c r="M220" s="21"/>
      <c r="N220" s="22"/>
      <c r="O220" s="23"/>
      <c r="P220" s="54"/>
      <c r="Q220" s="23"/>
      <c r="R220" s="20"/>
      <c r="S220" s="20"/>
      <c r="T220" s="20"/>
      <c r="U220" s="3"/>
    </row>
    <row r="221" spans="1:21" ht="20.100000000000001" customHeight="1" x14ac:dyDescent="0.3">
      <c r="A221" s="20"/>
      <c r="B221" s="20"/>
      <c r="C221" s="20"/>
      <c r="D221" s="20"/>
      <c r="E221" s="20"/>
      <c r="F221" s="2"/>
      <c r="G221" s="20"/>
      <c r="H221" s="20"/>
      <c r="I221" s="21"/>
      <c r="J221" s="20"/>
      <c r="K221" s="20"/>
      <c r="L221" s="20"/>
      <c r="M221" s="21"/>
      <c r="N221" s="22"/>
      <c r="O221" s="23"/>
      <c r="P221" s="54"/>
      <c r="Q221" s="23"/>
      <c r="R221" s="20"/>
      <c r="S221" s="20"/>
      <c r="T221" s="20"/>
      <c r="U221" s="3"/>
    </row>
    <row r="222" spans="1:21" ht="20.100000000000001" customHeight="1" x14ac:dyDescent="0.3">
      <c r="A222" s="20"/>
      <c r="B222" s="20"/>
      <c r="C222" s="20"/>
      <c r="D222" s="20"/>
      <c r="E222" s="20"/>
      <c r="F222" s="2"/>
      <c r="G222" s="20"/>
      <c r="H222" s="20"/>
      <c r="I222" s="21"/>
      <c r="J222" s="20"/>
      <c r="K222" s="20"/>
      <c r="L222" s="20"/>
      <c r="M222" s="21"/>
      <c r="N222" s="22"/>
      <c r="O222" s="23"/>
      <c r="P222" s="54"/>
      <c r="Q222" s="23"/>
      <c r="R222" s="20"/>
      <c r="S222" s="20"/>
      <c r="T222" s="20"/>
      <c r="U222" s="3"/>
    </row>
    <row r="223" spans="1:21" ht="20.100000000000001" customHeight="1" x14ac:dyDescent="0.3">
      <c r="A223" s="20"/>
      <c r="B223" s="20"/>
      <c r="C223" s="20"/>
      <c r="D223" s="20"/>
      <c r="E223" s="20"/>
      <c r="F223" s="2"/>
      <c r="G223" s="20"/>
      <c r="H223" s="20"/>
      <c r="I223" s="21"/>
      <c r="J223" s="20"/>
      <c r="K223" s="20"/>
      <c r="L223" s="20"/>
      <c r="M223" s="21"/>
      <c r="N223" s="22"/>
      <c r="O223" s="23"/>
      <c r="P223" s="54"/>
      <c r="Q223" s="23"/>
      <c r="R223" s="20"/>
      <c r="S223" s="20"/>
      <c r="T223" s="20"/>
      <c r="U223" s="3"/>
    </row>
    <row r="224" spans="1:21" ht="20.100000000000001" customHeight="1" x14ac:dyDescent="0.3">
      <c r="A224" s="20"/>
      <c r="B224" s="20"/>
      <c r="C224" s="20"/>
      <c r="D224" s="20"/>
      <c r="E224" s="20"/>
      <c r="F224" s="2"/>
      <c r="G224" s="20"/>
      <c r="H224" s="20"/>
      <c r="I224" s="21"/>
      <c r="J224" s="20"/>
      <c r="K224" s="20"/>
      <c r="L224" s="20"/>
      <c r="M224" s="21"/>
      <c r="N224" s="22"/>
      <c r="O224" s="23"/>
      <c r="P224" s="54"/>
      <c r="Q224" s="23"/>
      <c r="R224" s="20"/>
      <c r="S224" s="20"/>
      <c r="T224" s="20"/>
      <c r="U224" s="3"/>
    </row>
    <row r="225" spans="1:21" ht="20.100000000000001" customHeight="1" x14ac:dyDescent="0.3">
      <c r="A225" s="20"/>
      <c r="B225" s="20"/>
      <c r="C225" s="20"/>
      <c r="D225" s="20"/>
      <c r="E225" s="20"/>
      <c r="F225" s="2"/>
      <c r="G225" s="20"/>
      <c r="H225" s="20"/>
      <c r="I225" s="21"/>
      <c r="J225" s="20"/>
      <c r="K225" s="20"/>
      <c r="L225" s="20"/>
      <c r="M225" s="21"/>
      <c r="N225" s="22"/>
      <c r="O225" s="23"/>
      <c r="P225" s="54"/>
      <c r="Q225" s="23"/>
      <c r="R225" s="20"/>
      <c r="S225" s="20"/>
      <c r="T225" s="20"/>
      <c r="U225" s="3"/>
    </row>
    <row r="226" spans="1:21" ht="20.100000000000001" customHeight="1" x14ac:dyDescent="0.3">
      <c r="A226" s="20"/>
      <c r="B226" s="20"/>
      <c r="C226" s="20"/>
      <c r="D226" s="20"/>
      <c r="E226" s="20"/>
      <c r="F226" s="2"/>
      <c r="G226" s="20"/>
      <c r="H226" s="20"/>
      <c r="I226" s="21"/>
      <c r="J226" s="20"/>
      <c r="K226" s="20"/>
      <c r="L226" s="20"/>
      <c r="M226" s="21"/>
      <c r="N226" s="22"/>
      <c r="O226" s="23"/>
      <c r="P226" s="54"/>
      <c r="Q226" s="23"/>
      <c r="R226" s="20"/>
      <c r="S226" s="20"/>
      <c r="T226" s="20"/>
      <c r="U226" s="3"/>
    </row>
    <row r="227" spans="1:21" ht="20.100000000000001" customHeight="1" x14ac:dyDescent="0.3">
      <c r="A227" s="20"/>
      <c r="B227" s="20"/>
      <c r="C227" s="20"/>
      <c r="D227" s="20"/>
      <c r="E227" s="20"/>
      <c r="F227" s="2"/>
      <c r="G227" s="20"/>
      <c r="H227" s="20"/>
      <c r="I227" s="21"/>
      <c r="J227" s="20"/>
      <c r="K227" s="20"/>
      <c r="L227" s="20"/>
      <c r="M227" s="21"/>
      <c r="N227" s="22"/>
      <c r="O227" s="23"/>
      <c r="P227" s="54"/>
      <c r="Q227" s="23"/>
      <c r="R227" s="20"/>
      <c r="S227" s="20"/>
      <c r="T227" s="20"/>
      <c r="U227" s="3"/>
    </row>
    <row r="228" spans="1:21" ht="20.100000000000001" customHeight="1" x14ac:dyDescent="0.3">
      <c r="A228" s="20"/>
      <c r="B228" s="20"/>
      <c r="C228" s="20"/>
      <c r="D228" s="20"/>
      <c r="E228" s="20"/>
      <c r="F228" s="2"/>
      <c r="G228" s="20"/>
      <c r="H228" s="20"/>
      <c r="I228" s="21"/>
      <c r="J228" s="20"/>
      <c r="K228" s="20"/>
      <c r="L228" s="20"/>
      <c r="M228" s="21"/>
      <c r="N228" s="22"/>
      <c r="O228" s="23"/>
      <c r="P228" s="54"/>
      <c r="Q228" s="23"/>
      <c r="R228" s="20"/>
      <c r="S228" s="20"/>
      <c r="T228" s="20"/>
      <c r="U228" s="3"/>
    </row>
    <row r="229" spans="1:21" ht="20.100000000000001" customHeight="1" x14ac:dyDescent="0.3">
      <c r="A229" s="20"/>
      <c r="B229" s="20"/>
      <c r="C229" s="20"/>
      <c r="D229" s="20"/>
      <c r="E229" s="20"/>
      <c r="F229" s="2"/>
      <c r="G229" s="20"/>
      <c r="H229" s="20"/>
      <c r="I229" s="21"/>
      <c r="J229" s="20"/>
      <c r="K229" s="20"/>
      <c r="L229" s="20"/>
      <c r="M229" s="21"/>
      <c r="N229" s="22"/>
      <c r="O229" s="23"/>
      <c r="P229" s="54"/>
      <c r="Q229" s="23"/>
      <c r="R229" s="20"/>
      <c r="S229" s="20"/>
      <c r="T229" s="20"/>
      <c r="U229" s="3"/>
    </row>
    <row r="230" spans="1:21" ht="20.100000000000001" customHeight="1" x14ac:dyDescent="0.3">
      <c r="A230" s="20"/>
      <c r="B230" s="20"/>
      <c r="C230" s="20"/>
      <c r="D230" s="20"/>
      <c r="E230" s="20"/>
      <c r="F230" s="2"/>
      <c r="G230" s="20"/>
      <c r="H230" s="20"/>
      <c r="I230" s="21"/>
      <c r="J230" s="20"/>
      <c r="K230" s="20"/>
      <c r="L230" s="20"/>
      <c r="M230" s="21"/>
      <c r="N230" s="22"/>
      <c r="O230" s="23"/>
      <c r="P230" s="54"/>
      <c r="Q230" s="23"/>
      <c r="R230" s="20"/>
      <c r="S230" s="20"/>
      <c r="T230" s="20"/>
      <c r="U230" s="3"/>
    </row>
    <row r="231" spans="1:21" ht="20.100000000000001" customHeight="1" x14ac:dyDescent="0.3">
      <c r="A231" s="20"/>
      <c r="B231" s="20"/>
      <c r="C231" s="20"/>
      <c r="D231" s="20"/>
      <c r="E231" s="20"/>
      <c r="F231" s="2"/>
      <c r="G231" s="20"/>
      <c r="H231" s="20"/>
      <c r="I231" s="21"/>
      <c r="J231" s="20"/>
      <c r="K231" s="20"/>
      <c r="L231" s="20"/>
      <c r="M231" s="21"/>
      <c r="N231" s="22"/>
      <c r="O231" s="23"/>
      <c r="P231" s="54"/>
      <c r="Q231" s="23"/>
      <c r="R231" s="20"/>
      <c r="S231" s="20"/>
      <c r="T231" s="20"/>
      <c r="U231" s="3"/>
    </row>
    <row r="232" spans="1:21" ht="20.100000000000001" customHeight="1" x14ac:dyDescent="0.3">
      <c r="A232" s="20"/>
      <c r="B232" s="20"/>
      <c r="C232" s="20"/>
      <c r="D232" s="20"/>
      <c r="E232" s="20"/>
      <c r="F232" s="2"/>
      <c r="G232" s="20"/>
      <c r="H232" s="20"/>
      <c r="I232" s="21"/>
      <c r="J232" s="20"/>
      <c r="K232" s="20"/>
      <c r="L232" s="20"/>
      <c r="M232" s="21"/>
      <c r="N232" s="22"/>
      <c r="O232" s="23"/>
      <c r="P232" s="54"/>
      <c r="Q232" s="23"/>
      <c r="R232" s="20"/>
      <c r="S232" s="20"/>
      <c r="T232" s="20"/>
      <c r="U232" s="3"/>
    </row>
    <row r="233" spans="1:21" ht="20.100000000000001" customHeight="1" x14ac:dyDescent="0.3">
      <c r="A233" s="20"/>
      <c r="B233" s="20"/>
      <c r="C233" s="20"/>
      <c r="D233" s="20"/>
      <c r="E233" s="20"/>
      <c r="F233" s="2"/>
      <c r="G233" s="20"/>
      <c r="H233" s="20"/>
      <c r="I233" s="21"/>
      <c r="J233" s="20"/>
      <c r="K233" s="20"/>
      <c r="L233" s="20"/>
      <c r="M233" s="21"/>
      <c r="N233" s="22"/>
      <c r="O233" s="23"/>
      <c r="P233" s="54"/>
      <c r="Q233" s="23"/>
      <c r="R233" s="20"/>
      <c r="S233" s="20"/>
      <c r="T233" s="20"/>
      <c r="U233" s="3"/>
    </row>
    <row r="234" spans="1:21" ht="20.100000000000001" customHeight="1" x14ac:dyDescent="0.3">
      <c r="A234" s="20"/>
      <c r="B234" s="20"/>
      <c r="C234" s="20"/>
      <c r="D234" s="20"/>
      <c r="E234" s="20"/>
      <c r="F234" s="2"/>
      <c r="G234" s="20"/>
      <c r="H234" s="20"/>
      <c r="I234" s="21"/>
      <c r="J234" s="20"/>
      <c r="K234" s="20"/>
      <c r="L234" s="20"/>
      <c r="M234" s="21"/>
      <c r="N234" s="22"/>
      <c r="O234" s="23"/>
      <c r="P234" s="54"/>
      <c r="Q234" s="23"/>
      <c r="R234" s="20"/>
      <c r="S234" s="20"/>
      <c r="T234" s="20"/>
      <c r="U234" s="3"/>
    </row>
    <row r="235" spans="1:21" ht="20.100000000000001" customHeight="1" x14ac:dyDescent="0.3">
      <c r="A235" s="20"/>
      <c r="B235" s="20"/>
      <c r="C235" s="20"/>
      <c r="D235" s="20"/>
      <c r="E235" s="20"/>
      <c r="F235" s="2"/>
      <c r="G235" s="20"/>
      <c r="H235" s="20"/>
      <c r="I235" s="21"/>
      <c r="J235" s="20"/>
      <c r="K235" s="20"/>
      <c r="L235" s="20"/>
      <c r="M235" s="21"/>
      <c r="N235" s="22"/>
      <c r="O235" s="23"/>
      <c r="P235" s="54"/>
      <c r="Q235" s="23"/>
      <c r="R235" s="20"/>
      <c r="S235" s="20"/>
      <c r="T235" s="20"/>
      <c r="U235" s="3"/>
    </row>
    <row r="236" spans="1:21" ht="20.100000000000001" customHeight="1" x14ac:dyDescent="0.3">
      <c r="A236" s="20"/>
      <c r="B236" s="20"/>
      <c r="C236" s="20"/>
      <c r="D236" s="20"/>
      <c r="E236" s="20"/>
      <c r="F236" s="2"/>
      <c r="G236" s="20"/>
      <c r="H236" s="20"/>
      <c r="I236" s="21"/>
      <c r="J236" s="20"/>
      <c r="K236" s="20"/>
      <c r="L236" s="20"/>
      <c r="M236" s="21"/>
      <c r="N236" s="22"/>
      <c r="O236" s="23"/>
      <c r="P236" s="54"/>
      <c r="Q236" s="23"/>
      <c r="R236" s="20"/>
      <c r="S236" s="20"/>
      <c r="T236" s="20"/>
      <c r="U236" s="3"/>
    </row>
    <row r="237" spans="1:21" ht="20.100000000000001" customHeight="1" x14ac:dyDescent="0.3">
      <c r="A237" s="20"/>
      <c r="B237" s="20"/>
      <c r="C237" s="20"/>
      <c r="D237" s="20"/>
      <c r="E237" s="20"/>
      <c r="F237" s="2"/>
      <c r="G237" s="20"/>
      <c r="H237" s="20"/>
      <c r="I237" s="21"/>
      <c r="J237" s="20"/>
      <c r="K237" s="20"/>
      <c r="L237" s="20"/>
      <c r="M237" s="21"/>
      <c r="N237" s="22"/>
      <c r="O237" s="23"/>
      <c r="P237" s="54"/>
      <c r="Q237" s="23"/>
      <c r="R237" s="20"/>
      <c r="S237" s="20"/>
      <c r="T237" s="20"/>
      <c r="U237" s="3"/>
    </row>
    <row r="238" spans="1:21" ht="20.100000000000001" customHeight="1" x14ac:dyDescent="0.3">
      <c r="A238" s="20"/>
      <c r="B238" s="20"/>
      <c r="C238" s="20"/>
      <c r="D238" s="20"/>
      <c r="E238" s="20"/>
      <c r="F238" s="2"/>
      <c r="G238" s="20"/>
      <c r="H238" s="20"/>
      <c r="I238" s="21"/>
      <c r="J238" s="20"/>
      <c r="K238" s="20"/>
      <c r="L238" s="20"/>
      <c r="M238" s="21"/>
      <c r="N238" s="22"/>
      <c r="O238" s="23"/>
      <c r="P238" s="54"/>
      <c r="Q238" s="23"/>
      <c r="R238" s="20"/>
      <c r="S238" s="20"/>
      <c r="T238" s="20"/>
      <c r="U238" s="3"/>
    </row>
    <row r="239" spans="1:21" ht="20.100000000000001" customHeight="1" x14ac:dyDescent="0.3">
      <c r="A239" s="20"/>
      <c r="B239" s="20"/>
      <c r="C239" s="20"/>
      <c r="D239" s="20"/>
      <c r="E239" s="20"/>
      <c r="F239" s="2"/>
      <c r="G239" s="20"/>
      <c r="H239" s="20"/>
      <c r="I239" s="21"/>
      <c r="J239" s="20"/>
      <c r="K239" s="20"/>
      <c r="L239" s="20"/>
      <c r="M239" s="21"/>
      <c r="N239" s="22"/>
      <c r="O239" s="23"/>
      <c r="P239" s="54"/>
      <c r="Q239" s="23"/>
      <c r="R239" s="20"/>
      <c r="S239" s="20"/>
      <c r="T239" s="20"/>
      <c r="U239" s="3"/>
    </row>
    <row r="240" spans="1:21" ht="20.100000000000001" customHeight="1" x14ac:dyDescent="0.3">
      <c r="A240" s="20"/>
      <c r="B240" s="20"/>
      <c r="C240" s="20"/>
      <c r="D240" s="20"/>
      <c r="E240" s="20"/>
      <c r="F240" s="2"/>
      <c r="G240" s="20"/>
      <c r="H240" s="20"/>
      <c r="I240" s="21"/>
      <c r="J240" s="20"/>
      <c r="K240" s="20"/>
      <c r="L240" s="20"/>
      <c r="M240" s="21"/>
      <c r="N240" s="22"/>
      <c r="O240" s="23"/>
      <c r="P240" s="54"/>
      <c r="Q240" s="23"/>
      <c r="R240" s="20"/>
      <c r="S240" s="20"/>
      <c r="T240" s="20"/>
      <c r="U240" s="3"/>
    </row>
    <row r="241" spans="1:21" ht="20.100000000000001" customHeight="1" x14ac:dyDescent="0.3">
      <c r="A241" s="20"/>
      <c r="B241" s="20"/>
      <c r="C241" s="20"/>
      <c r="D241" s="20"/>
      <c r="E241" s="20"/>
      <c r="F241" s="2"/>
      <c r="G241" s="20"/>
      <c r="H241" s="20"/>
      <c r="I241" s="21"/>
      <c r="J241" s="20"/>
      <c r="K241" s="20"/>
      <c r="L241" s="20"/>
      <c r="M241" s="21"/>
      <c r="N241" s="22"/>
      <c r="O241" s="23"/>
      <c r="P241" s="54"/>
      <c r="Q241" s="23"/>
      <c r="R241" s="20"/>
      <c r="S241" s="20"/>
      <c r="T241" s="20"/>
      <c r="U241" s="3"/>
    </row>
    <row r="242" spans="1:21" ht="20.100000000000001" customHeight="1" x14ac:dyDescent="0.3">
      <c r="A242" s="20"/>
      <c r="B242" s="20"/>
      <c r="C242" s="20"/>
      <c r="D242" s="20"/>
      <c r="E242" s="20"/>
      <c r="F242" s="2"/>
      <c r="G242" s="20"/>
      <c r="H242" s="20"/>
      <c r="I242" s="21"/>
      <c r="J242" s="20"/>
      <c r="K242" s="20"/>
      <c r="L242" s="20"/>
      <c r="M242" s="21"/>
      <c r="N242" s="22"/>
      <c r="O242" s="23"/>
      <c r="P242" s="54"/>
      <c r="Q242" s="23"/>
      <c r="R242" s="20"/>
      <c r="S242" s="20"/>
      <c r="T242" s="20"/>
      <c r="U242" s="3"/>
    </row>
    <row r="243" spans="1:21" ht="20.100000000000001" customHeight="1" x14ac:dyDescent="0.3">
      <c r="A243" s="20"/>
      <c r="B243" s="20"/>
      <c r="C243" s="20"/>
      <c r="D243" s="20"/>
      <c r="E243" s="20"/>
      <c r="F243" s="2"/>
      <c r="G243" s="20"/>
      <c r="H243" s="20"/>
      <c r="I243" s="21"/>
      <c r="J243" s="20"/>
      <c r="K243" s="20"/>
      <c r="L243" s="20"/>
      <c r="M243" s="21"/>
      <c r="N243" s="22"/>
      <c r="O243" s="23"/>
      <c r="P243" s="54"/>
      <c r="Q243" s="23"/>
      <c r="R243" s="20"/>
      <c r="S243" s="20"/>
      <c r="T243" s="20"/>
      <c r="U243" s="3"/>
    </row>
    <row r="244" spans="1:21" ht="20.100000000000001" customHeight="1" x14ac:dyDescent="0.3">
      <c r="A244" s="20"/>
      <c r="B244" s="20"/>
      <c r="C244" s="20"/>
      <c r="D244" s="20"/>
      <c r="E244" s="20"/>
      <c r="F244" s="2"/>
      <c r="G244" s="20"/>
      <c r="H244" s="20"/>
      <c r="I244" s="21"/>
      <c r="J244" s="20"/>
      <c r="K244" s="20"/>
      <c r="L244" s="20"/>
      <c r="M244" s="21"/>
      <c r="N244" s="22"/>
      <c r="O244" s="23"/>
      <c r="P244" s="54"/>
      <c r="Q244" s="23"/>
      <c r="R244" s="20"/>
      <c r="S244" s="20"/>
      <c r="T244" s="20"/>
      <c r="U244" s="3"/>
    </row>
    <row r="245" spans="1:21" ht="20.100000000000001" customHeight="1" x14ac:dyDescent="0.3">
      <c r="A245" s="20"/>
      <c r="B245" s="20"/>
      <c r="C245" s="20"/>
      <c r="D245" s="20"/>
      <c r="E245" s="20"/>
      <c r="F245" s="2"/>
      <c r="G245" s="20"/>
      <c r="H245" s="20"/>
      <c r="I245" s="21"/>
      <c r="J245" s="20"/>
      <c r="K245" s="20"/>
      <c r="L245" s="20"/>
      <c r="M245" s="21"/>
      <c r="N245" s="22"/>
      <c r="O245" s="23"/>
      <c r="P245" s="54"/>
      <c r="Q245" s="23"/>
      <c r="R245" s="20"/>
      <c r="S245" s="20"/>
      <c r="T245" s="20"/>
      <c r="U245" s="3"/>
    </row>
    <row r="246" spans="1:21" ht="20.100000000000001" customHeight="1" x14ac:dyDescent="0.3">
      <c r="A246" s="20"/>
      <c r="B246" s="20"/>
      <c r="C246" s="20"/>
      <c r="D246" s="20"/>
      <c r="E246" s="20"/>
      <c r="F246" s="2"/>
      <c r="G246" s="20"/>
      <c r="H246" s="20"/>
      <c r="I246" s="21"/>
      <c r="J246" s="20"/>
      <c r="K246" s="20"/>
      <c r="L246" s="20"/>
      <c r="M246" s="21"/>
      <c r="N246" s="22"/>
      <c r="O246" s="23"/>
      <c r="P246" s="54"/>
      <c r="Q246" s="23"/>
      <c r="R246" s="20"/>
      <c r="S246" s="20"/>
      <c r="T246" s="20"/>
      <c r="U246" s="3"/>
    </row>
    <row r="247" spans="1:21" ht="20.100000000000001" customHeight="1" x14ac:dyDescent="0.3">
      <c r="A247" s="20"/>
      <c r="B247" s="20"/>
      <c r="C247" s="20"/>
      <c r="D247" s="20"/>
      <c r="E247" s="20"/>
      <c r="F247" s="2"/>
      <c r="G247" s="20"/>
      <c r="H247" s="20"/>
      <c r="I247" s="21"/>
      <c r="J247" s="20"/>
      <c r="K247" s="20"/>
      <c r="L247" s="20"/>
      <c r="M247" s="21"/>
      <c r="N247" s="22"/>
      <c r="O247" s="23"/>
      <c r="P247" s="54"/>
      <c r="Q247" s="23"/>
      <c r="R247" s="20"/>
      <c r="S247" s="20"/>
      <c r="T247" s="20"/>
      <c r="U247" s="3"/>
    </row>
    <row r="248" spans="1:21" ht="20.100000000000001" customHeight="1" x14ac:dyDescent="0.3">
      <c r="A248" s="20"/>
      <c r="B248" s="20"/>
      <c r="C248" s="20"/>
      <c r="D248" s="20"/>
      <c r="E248" s="20"/>
      <c r="F248" s="2"/>
      <c r="G248" s="20"/>
      <c r="H248" s="20"/>
      <c r="I248" s="21"/>
      <c r="J248" s="20"/>
      <c r="K248" s="20"/>
      <c r="L248" s="20"/>
      <c r="M248" s="21"/>
      <c r="N248" s="22"/>
      <c r="O248" s="23"/>
      <c r="P248" s="54"/>
      <c r="Q248" s="23"/>
      <c r="R248" s="20"/>
      <c r="S248" s="20"/>
      <c r="T248" s="20"/>
      <c r="U248" s="3"/>
    </row>
    <row r="249" spans="1:21" ht="20.100000000000001" customHeight="1" x14ac:dyDescent="0.3">
      <c r="A249" s="20"/>
      <c r="B249" s="20"/>
      <c r="C249" s="20"/>
      <c r="D249" s="20"/>
      <c r="E249" s="20"/>
      <c r="F249" s="2"/>
      <c r="G249" s="20"/>
      <c r="H249" s="20"/>
      <c r="I249" s="21"/>
      <c r="J249" s="20"/>
      <c r="K249" s="20"/>
      <c r="L249" s="20"/>
      <c r="M249" s="21"/>
      <c r="N249" s="22"/>
      <c r="O249" s="23"/>
      <c r="P249" s="54"/>
      <c r="Q249" s="23"/>
      <c r="R249" s="20"/>
      <c r="S249" s="20"/>
      <c r="T249" s="20"/>
      <c r="U249" s="3"/>
    </row>
    <row r="250" spans="1:21" ht="20.100000000000001" customHeight="1" x14ac:dyDescent="0.3">
      <c r="A250" s="20"/>
      <c r="B250" s="20"/>
      <c r="C250" s="20"/>
      <c r="D250" s="20"/>
      <c r="E250" s="20"/>
      <c r="F250" s="2"/>
      <c r="G250" s="20"/>
      <c r="H250" s="20"/>
      <c r="I250" s="21"/>
      <c r="J250" s="20"/>
      <c r="K250" s="20"/>
      <c r="L250" s="20"/>
      <c r="M250" s="21"/>
      <c r="N250" s="22"/>
      <c r="O250" s="23"/>
      <c r="P250" s="54"/>
      <c r="Q250" s="23"/>
      <c r="R250" s="20"/>
      <c r="S250" s="20"/>
      <c r="T250" s="20"/>
      <c r="U250" s="3"/>
    </row>
    <row r="251" spans="1:21" ht="20.100000000000001" customHeight="1" x14ac:dyDescent="0.3">
      <c r="A251" s="20"/>
      <c r="B251" s="20"/>
      <c r="C251" s="20"/>
      <c r="D251" s="20"/>
      <c r="E251" s="20"/>
      <c r="F251" s="2"/>
      <c r="G251" s="20"/>
      <c r="H251" s="20"/>
      <c r="I251" s="21"/>
      <c r="J251" s="20"/>
      <c r="K251" s="20"/>
      <c r="L251" s="20"/>
      <c r="M251" s="21"/>
      <c r="N251" s="22"/>
      <c r="O251" s="23"/>
      <c r="P251" s="54"/>
      <c r="Q251" s="23"/>
      <c r="R251" s="20"/>
      <c r="S251" s="20"/>
      <c r="T251" s="20"/>
      <c r="U251" s="3"/>
    </row>
    <row r="252" spans="1:21" ht="20.100000000000001" customHeight="1" x14ac:dyDescent="0.3">
      <c r="A252" s="20"/>
      <c r="B252" s="20"/>
      <c r="C252" s="20"/>
      <c r="D252" s="20"/>
      <c r="E252" s="20"/>
      <c r="F252" s="2"/>
      <c r="G252" s="20"/>
      <c r="H252" s="20"/>
      <c r="I252" s="21"/>
      <c r="J252" s="20"/>
      <c r="K252" s="20"/>
      <c r="L252" s="20"/>
      <c r="M252" s="21"/>
      <c r="N252" s="22"/>
      <c r="O252" s="23"/>
      <c r="P252" s="54"/>
      <c r="Q252" s="23"/>
      <c r="R252" s="20"/>
      <c r="S252" s="20"/>
      <c r="T252" s="20"/>
      <c r="U252" s="3"/>
    </row>
    <row r="253" spans="1:21" ht="20.100000000000001" customHeight="1" x14ac:dyDescent="0.3">
      <c r="A253" s="20"/>
      <c r="B253" s="20"/>
      <c r="C253" s="20"/>
      <c r="D253" s="20"/>
      <c r="E253" s="20"/>
      <c r="F253" s="2"/>
      <c r="G253" s="20"/>
      <c r="H253" s="20"/>
      <c r="I253" s="21"/>
      <c r="J253" s="20"/>
      <c r="K253" s="20"/>
      <c r="L253" s="20"/>
      <c r="M253" s="21"/>
      <c r="N253" s="22"/>
      <c r="O253" s="23"/>
      <c r="P253" s="54"/>
      <c r="Q253" s="23"/>
      <c r="R253" s="20"/>
      <c r="S253" s="20"/>
      <c r="T253" s="20"/>
      <c r="U253" s="3"/>
    </row>
    <row r="254" spans="1:21" ht="20.100000000000001" customHeight="1" x14ac:dyDescent="0.3">
      <c r="A254" s="20"/>
      <c r="B254" s="20"/>
      <c r="C254" s="20"/>
      <c r="D254" s="20"/>
      <c r="E254" s="20"/>
      <c r="F254" s="2"/>
      <c r="G254" s="20"/>
      <c r="H254" s="20"/>
      <c r="I254" s="21"/>
      <c r="J254" s="20"/>
      <c r="K254" s="20"/>
      <c r="L254" s="20"/>
      <c r="M254" s="21"/>
      <c r="N254" s="22"/>
      <c r="O254" s="23"/>
      <c r="P254" s="54"/>
      <c r="Q254" s="23"/>
      <c r="R254" s="20"/>
      <c r="S254" s="20"/>
      <c r="T254" s="20"/>
      <c r="U254" s="3"/>
    </row>
    <row r="255" spans="1:21" ht="20.100000000000001" customHeight="1" x14ac:dyDescent="0.3">
      <c r="A255" s="20"/>
      <c r="B255" s="20"/>
      <c r="C255" s="20"/>
      <c r="D255" s="20"/>
      <c r="E255" s="20"/>
      <c r="F255" s="2"/>
      <c r="G255" s="20"/>
      <c r="H255" s="20"/>
      <c r="I255" s="21"/>
      <c r="J255" s="20"/>
      <c r="K255" s="20"/>
      <c r="L255" s="20"/>
      <c r="M255" s="21"/>
      <c r="N255" s="22"/>
      <c r="O255" s="23"/>
      <c r="P255" s="54"/>
      <c r="Q255" s="23"/>
      <c r="R255" s="20"/>
      <c r="S255" s="20"/>
      <c r="T255" s="20"/>
      <c r="U255" s="3"/>
    </row>
    <row r="256" spans="1:21" ht="20.100000000000001" customHeight="1" x14ac:dyDescent="0.3">
      <c r="A256" s="20"/>
      <c r="B256" s="20"/>
      <c r="C256" s="20"/>
      <c r="D256" s="20"/>
      <c r="E256" s="20"/>
      <c r="F256" s="2"/>
      <c r="G256" s="20"/>
      <c r="H256" s="20"/>
      <c r="I256" s="21"/>
      <c r="J256" s="20"/>
      <c r="K256" s="20"/>
      <c r="L256" s="20"/>
      <c r="M256" s="21"/>
      <c r="N256" s="22"/>
      <c r="O256" s="23"/>
      <c r="P256" s="54"/>
      <c r="Q256" s="23"/>
      <c r="R256" s="20"/>
      <c r="S256" s="20"/>
      <c r="T256" s="20"/>
      <c r="U256" s="3"/>
    </row>
    <row r="257" spans="1:21" ht="20.100000000000001" customHeight="1" x14ac:dyDescent="0.3">
      <c r="A257" s="20"/>
      <c r="B257" s="20"/>
      <c r="C257" s="20"/>
      <c r="D257" s="20"/>
      <c r="E257" s="20"/>
      <c r="F257" s="2"/>
      <c r="G257" s="20"/>
      <c r="H257" s="20"/>
      <c r="I257" s="21"/>
      <c r="J257" s="20"/>
      <c r="K257" s="20"/>
      <c r="L257" s="20"/>
      <c r="M257" s="21"/>
      <c r="N257" s="22"/>
      <c r="O257" s="23"/>
      <c r="P257" s="54"/>
      <c r="Q257" s="23"/>
      <c r="R257" s="20"/>
      <c r="S257" s="20"/>
      <c r="T257" s="20"/>
      <c r="U257" s="3"/>
    </row>
    <row r="258" spans="1:21" ht="20.100000000000001" customHeight="1" x14ac:dyDescent="0.3">
      <c r="A258" s="20"/>
      <c r="B258" s="20"/>
      <c r="C258" s="20"/>
      <c r="D258" s="20"/>
      <c r="E258" s="20"/>
      <c r="F258" s="2"/>
      <c r="G258" s="20"/>
      <c r="H258" s="20"/>
      <c r="I258" s="21"/>
      <c r="J258" s="20"/>
      <c r="K258" s="20"/>
      <c r="L258" s="20"/>
      <c r="M258" s="21"/>
      <c r="N258" s="22"/>
      <c r="O258" s="23"/>
      <c r="P258" s="54"/>
      <c r="Q258" s="23"/>
      <c r="R258" s="20"/>
      <c r="S258" s="20"/>
      <c r="T258" s="20"/>
      <c r="U258" s="3"/>
    </row>
    <row r="259" spans="1:21" ht="20.100000000000001" customHeight="1" x14ac:dyDescent="0.3">
      <c r="A259" s="20"/>
      <c r="B259" s="20"/>
      <c r="C259" s="20"/>
      <c r="D259" s="20"/>
      <c r="E259" s="20"/>
      <c r="F259" s="2"/>
      <c r="G259" s="20"/>
      <c r="H259" s="20"/>
      <c r="I259" s="21"/>
      <c r="J259" s="20"/>
      <c r="K259" s="20"/>
      <c r="L259" s="20"/>
      <c r="M259" s="21"/>
      <c r="N259" s="22"/>
      <c r="O259" s="23"/>
      <c r="P259" s="54"/>
      <c r="Q259" s="23"/>
      <c r="R259" s="20"/>
      <c r="S259" s="20"/>
      <c r="T259" s="20"/>
      <c r="U259" s="3"/>
    </row>
    <row r="260" spans="1:21" ht="20.100000000000001" customHeight="1" x14ac:dyDescent="0.3">
      <c r="A260" s="20"/>
      <c r="B260" s="20"/>
      <c r="C260" s="20"/>
      <c r="D260" s="20"/>
      <c r="E260" s="20"/>
      <c r="F260" s="2"/>
      <c r="G260" s="20"/>
      <c r="H260" s="20"/>
      <c r="I260" s="21"/>
      <c r="J260" s="20"/>
      <c r="K260" s="20"/>
      <c r="L260" s="20"/>
      <c r="M260" s="21"/>
      <c r="N260" s="22"/>
      <c r="O260" s="23"/>
      <c r="P260" s="54"/>
      <c r="Q260" s="23"/>
      <c r="R260" s="20"/>
      <c r="S260" s="20"/>
      <c r="T260" s="20"/>
      <c r="U260" s="3"/>
    </row>
    <row r="261" spans="1:21" ht="20.100000000000001" customHeight="1" x14ac:dyDescent="0.3">
      <c r="A261" s="20"/>
      <c r="B261" s="20"/>
      <c r="C261" s="20"/>
      <c r="D261" s="20"/>
      <c r="E261" s="20"/>
      <c r="F261" s="2"/>
      <c r="G261" s="20"/>
      <c r="H261" s="20"/>
      <c r="I261" s="21"/>
      <c r="J261" s="20"/>
      <c r="K261" s="20"/>
      <c r="L261" s="20"/>
      <c r="M261" s="21"/>
      <c r="N261" s="22"/>
      <c r="O261" s="23"/>
      <c r="P261" s="54"/>
      <c r="Q261" s="23"/>
      <c r="R261" s="20"/>
      <c r="S261" s="20"/>
      <c r="T261" s="20"/>
      <c r="U261" s="3"/>
    </row>
    <row r="262" spans="1:21" ht="20.100000000000001" customHeight="1" x14ac:dyDescent="0.3">
      <c r="A262" s="20"/>
      <c r="B262" s="20"/>
      <c r="C262" s="20"/>
      <c r="D262" s="20"/>
      <c r="E262" s="20"/>
      <c r="F262" s="2"/>
      <c r="G262" s="20"/>
      <c r="H262" s="20"/>
      <c r="I262" s="21"/>
      <c r="J262" s="20"/>
      <c r="K262" s="20"/>
      <c r="L262" s="20"/>
      <c r="M262" s="21"/>
      <c r="N262" s="22"/>
      <c r="O262" s="23"/>
      <c r="P262" s="54"/>
      <c r="Q262" s="23"/>
      <c r="R262" s="20"/>
      <c r="S262" s="20"/>
      <c r="T262" s="20"/>
      <c r="U262" s="3"/>
    </row>
    <row r="263" spans="1:21" ht="20.100000000000001" customHeight="1" x14ac:dyDescent="0.3">
      <c r="A263" s="20"/>
      <c r="B263" s="20"/>
      <c r="C263" s="20"/>
      <c r="D263" s="20"/>
      <c r="E263" s="20"/>
      <c r="F263" s="2"/>
      <c r="G263" s="20"/>
      <c r="H263" s="20"/>
      <c r="I263" s="21"/>
      <c r="J263" s="20"/>
      <c r="K263" s="20"/>
      <c r="L263" s="20"/>
      <c r="M263" s="21"/>
      <c r="N263" s="22"/>
      <c r="O263" s="23"/>
      <c r="P263" s="54"/>
      <c r="Q263" s="23"/>
      <c r="R263" s="20"/>
      <c r="S263" s="20"/>
      <c r="T263" s="20"/>
      <c r="U263" s="3"/>
    </row>
    <row r="264" spans="1:21" ht="20.100000000000001" customHeight="1" x14ac:dyDescent="0.3">
      <c r="A264" s="20"/>
      <c r="B264" s="20"/>
      <c r="C264" s="20"/>
      <c r="D264" s="20"/>
      <c r="E264" s="20"/>
      <c r="F264" s="2"/>
      <c r="G264" s="20"/>
      <c r="H264" s="20"/>
      <c r="I264" s="21"/>
      <c r="J264" s="20"/>
      <c r="K264" s="20"/>
      <c r="L264" s="20"/>
      <c r="M264" s="21"/>
      <c r="N264" s="22"/>
      <c r="O264" s="23"/>
      <c r="P264" s="54"/>
      <c r="Q264" s="23"/>
      <c r="R264" s="20"/>
      <c r="S264" s="20"/>
      <c r="T264" s="20"/>
      <c r="U264" s="3"/>
    </row>
    <row r="265" spans="1:21" ht="20.100000000000001" customHeight="1" x14ac:dyDescent="0.3">
      <c r="A265" s="20"/>
      <c r="B265" s="20"/>
      <c r="C265" s="20"/>
      <c r="D265" s="20"/>
      <c r="E265" s="20"/>
      <c r="F265" s="2"/>
      <c r="G265" s="20"/>
      <c r="H265" s="20"/>
      <c r="I265" s="21"/>
      <c r="J265" s="20"/>
      <c r="K265" s="20"/>
      <c r="L265" s="20"/>
      <c r="M265" s="21"/>
      <c r="N265" s="22"/>
      <c r="O265" s="23"/>
      <c r="P265" s="54"/>
      <c r="Q265" s="23"/>
      <c r="R265" s="20"/>
      <c r="S265" s="20"/>
      <c r="T265" s="20"/>
      <c r="U265" s="3"/>
    </row>
    <row r="266" spans="1:21" ht="20.100000000000001" customHeight="1" x14ac:dyDescent="0.3">
      <c r="A266" s="20"/>
      <c r="B266" s="20"/>
      <c r="C266" s="20"/>
      <c r="D266" s="20"/>
      <c r="E266" s="20"/>
      <c r="F266" s="2"/>
      <c r="G266" s="20"/>
      <c r="H266" s="20"/>
      <c r="I266" s="21"/>
      <c r="J266" s="20"/>
      <c r="K266" s="20"/>
      <c r="L266" s="20"/>
      <c r="M266" s="21"/>
      <c r="N266" s="22"/>
      <c r="O266" s="23"/>
      <c r="P266" s="54"/>
      <c r="Q266" s="23"/>
      <c r="R266" s="20"/>
      <c r="S266" s="20"/>
      <c r="T266" s="20"/>
      <c r="U266" s="3"/>
    </row>
    <row r="267" spans="1:21" ht="20.100000000000001" customHeight="1" x14ac:dyDescent="0.3">
      <c r="A267" s="20"/>
      <c r="B267" s="20"/>
      <c r="C267" s="20"/>
      <c r="D267" s="20"/>
      <c r="E267" s="20"/>
      <c r="F267" s="2"/>
      <c r="G267" s="20"/>
      <c r="H267" s="20"/>
      <c r="I267" s="21"/>
      <c r="J267" s="20"/>
      <c r="K267" s="20"/>
      <c r="L267" s="20"/>
      <c r="M267" s="21"/>
      <c r="N267" s="22"/>
      <c r="O267" s="23"/>
      <c r="P267" s="54"/>
      <c r="Q267" s="23"/>
      <c r="R267" s="20"/>
      <c r="S267" s="20"/>
      <c r="T267" s="20"/>
      <c r="U267" s="3"/>
    </row>
    <row r="268" spans="1:21" ht="20.100000000000001" customHeight="1" x14ac:dyDescent="0.3">
      <c r="A268" s="20"/>
      <c r="B268" s="20"/>
      <c r="C268" s="20"/>
      <c r="D268" s="20"/>
      <c r="E268" s="20"/>
      <c r="F268" s="2"/>
      <c r="G268" s="20"/>
      <c r="H268" s="20"/>
      <c r="I268" s="21"/>
      <c r="J268" s="20"/>
      <c r="K268" s="20"/>
      <c r="L268" s="20"/>
      <c r="M268" s="21"/>
      <c r="N268" s="22"/>
      <c r="O268" s="23"/>
      <c r="P268" s="54"/>
      <c r="Q268" s="23"/>
      <c r="R268" s="20"/>
      <c r="S268" s="20"/>
      <c r="T268" s="20"/>
      <c r="U268" s="3"/>
    </row>
    <row r="269" spans="1:21" ht="20.100000000000001" customHeight="1" x14ac:dyDescent="0.3">
      <c r="A269" s="20"/>
      <c r="B269" s="20"/>
      <c r="C269" s="20"/>
      <c r="D269" s="20"/>
      <c r="E269" s="20"/>
      <c r="F269" s="2"/>
      <c r="G269" s="20"/>
      <c r="H269" s="20"/>
      <c r="I269" s="21"/>
      <c r="J269" s="20"/>
      <c r="K269" s="20"/>
      <c r="L269" s="20"/>
      <c r="M269" s="21"/>
      <c r="N269" s="22"/>
      <c r="O269" s="23"/>
      <c r="P269" s="54"/>
      <c r="Q269" s="23"/>
      <c r="R269" s="20"/>
      <c r="S269" s="20"/>
      <c r="T269" s="20"/>
      <c r="U269" s="3"/>
    </row>
    <row r="270" spans="1:21" ht="20.100000000000001" customHeight="1" x14ac:dyDescent="0.3">
      <c r="A270" s="20"/>
      <c r="B270" s="20"/>
      <c r="C270" s="20"/>
      <c r="D270" s="20"/>
      <c r="E270" s="20"/>
      <c r="F270" s="2"/>
      <c r="G270" s="20"/>
      <c r="H270" s="20"/>
      <c r="I270" s="21"/>
      <c r="J270" s="20"/>
      <c r="K270" s="20"/>
      <c r="L270" s="20"/>
      <c r="M270" s="21"/>
      <c r="N270" s="22"/>
      <c r="O270" s="23"/>
      <c r="P270" s="54"/>
      <c r="Q270" s="23"/>
      <c r="R270" s="20"/>
      <c r="S270" s="20"/>
      <c r="T270" s="20"/>
      <c r="U270" s="3"/>
    </row>
    <row r="271" spans="1:21" ht="20.100000000000001" customHeight="1" x14ac:dyDescent="0.3">
      <c r="A271" s="20"/>
      <c r="B271" s="20"/>
      <c r="C271" s="20"/>
      <c r="D271" s="20"/>
      <c r="E271" s="20"/>
      <c r="F271" s="2"/>
      <c r="G271" s="20"/>
      <c r="H271" s="20"/>
      <c r="I271" s="21"/>
      <c r="J271" s="20"/>
      <c r="K271" s="20"/>
      <c r="L271" s="20"/>
      <c r="M271" s="21"/>
      <c r="N271" s="22"/>
      <c r="O271" s="23"/>
      <c r="P271" s="54"/>
      <c r="Q271" s="23"/>
      <c r="R271" s="20"/>
      <c r="S271" s="20"/>
      <c r="T271" s="20"/>
      <c r="U271" s="3"/>
    </row>
    <row r="272" spans="1:21" ht="20.100000000000001" customHeight="1" x14ac:dyDescent="0.3">
      <c r="A272" s="20"/>
      <c r="B272" s="20"/>
      <c r="C272" s="20"/>
      <c r="D272" s="20"/>
      <c r="E272" s="20"/>
      <c r="F272" s="2"/>
      <c r="G272" s="20"/>
      <c r="H272" s="20"/>
      <c r="I272" s="21"/>
      <c r="J272" s="20"/>
      <c r="K272" s="20"/>
      <c r="L272" s="20"/>
      <c r="M272" s="21"/>
      <c r="N272" s="22"/>
      <c r="O272" s="23"/>
      <c r="P272" s="54"/>
      <c r="Q272" s="23"/>
      <c r="R272" s="20"/>
      <c r="S272" s="20"/>
      <c r="T272" s="20"/>
      <c r="U272" s="3"/>
    </row>
    <row r="273" spans="1:21" ht="20.100000000000001" customHeight="1" x14ac:dyDescent="0.3">
      <c r="A273" s="20"/>
      <c r="B273" s="20"/>
      <c r="C273" s="20"/>
      <c r="D273" s="20"/>
      <c r="E273" s="20"/>
      <c r="F273" s="2"/>
      <c r="G273" s="20"/>
      <c r="H273" s="20"/>
      <c r="I273" s="21"/>
      <c r="J273" s="20"/>
      <c r="K273" s="20"/>
      <c r="L273" s="20"/>
      <c r="M273" s="21"/>
      <c r="N273" s="22"/>
      <c r="O273" s="23"/>
      <c r="P273" s="54"/>
      <c r="Q273" s="23"/>
      <c r="R273" s="20"/>
      <c r="S273" s="20"/>
      <c r="T273" s="20"/>
      <c r="U273" s="3"/>
    </row>
    <row r="274" spans="1:21" ht="20.100000000000001" customHeight="1" x14ac:dyDescent="0.3">
      <c r="A274" s="20"/>
      <c r="B274" s="20"/>
      <c r="C274" s="20"/>
      <c r="D274" s="20"/>
      <c r="E274" s="20"/>
      <c r="F274" s="2"/>
      <c r="G274" s="20"/>
      <c r="H274" s="20"/>
      <c r="I274" s="21"/>
      <c r="J274" s="20"/>
      <c r="K274" s="20"/>
      <c r="L274" s="20"/>
      <c r="M274" s="21"/>
      <c r="N274" s="22"/>
      <c r="O274" s="23"/>
      <c r="P274" s="54"/>
      <c r="Q274" s="23"/>
      <c r="R274" s="20"/>
      <c r="S274" s="20"/>
      <c r="T274" s="20"/>
      <c r="U274" s="3"/>
    </row>
    <row r="275" spans="1:21" ht="20.100000000000001" customHeight="1" x14ac:dyDescent="0.3">
      <c r="A275" s="20"/>
      <c r="B275" s="20"/>
      <c r="C275" s="20"/>
      <c r="D275" s="20"/>
      <c r="E275" s="20"/>
      <c r="F275" s="2"/>
      <c r="G275" s="20"/>
      <c r="H275" s="20"/>
      <c r="I275" s="21"/>
      <c r="J275" s="20"/>
      <c r="K275" s="20"/>
      <c r="L275" s="20"/>
      <c r="M275" s="21"/>
      <c r="N275" s="22"/>
      <c r="O275" s="23"/>
      <c r="P275" s="54"/>
      <c r="Q275" s="23"/>
      <c r="R275" s="20"/>
      <c r="S275" s="20"/>
      <c r="T275" s="20"/>
      <c r="U275" s="3"/>
    </row>
    <row r="276" spans="1:21" ht="20.100000000000001" customHeight="1" x14ac:dyDescent="0.3">
      <c r="A276" s="20"/>
      <c r="B276" s="20"/>
      <c r="C276" s="20"/>
      <c r="D276" s="20"/>
      <c r="E276" s="20"/>
      <c r="F276" s="2"/>
      <c r="G276" s="20"/>
      <c r="H276" s="20"/>
      <c r="I276" s="21"/>
      <c r="J276" s="20"/>
      <c r="K276" s="20"/>
      <c r="L276" s="20"/>
      <c r="M276" s="21"/>
      <c r="N276" s="22"/>
      <c r="O276" s="23"/>
      <c r="P276" s="54"/>
      <c r="Q276" s="23"/>
      <c r="R276" s="20"/>
      <c r="S276" s="20"/>
      <c r="T276" s="20"/>
      <c r="U276" s="3"/>
    </row>
    <row r="277" spans="1:21" ht="20.100000000000001" customHeight="1" x14ac:dyDescent="0.3">
      <c r="A277" s="20"/>
      <c r="B277" s="20"/>
      <c r="C277" s="20"/>
      <c r="D277" s="20"/>
      <c r="E277" s="20"/>
      <c r="F277" s="2"/>
      <c r="G277" s="20"/>
      <c r="H277" s="20"/>
      <c r="I277" s="21"/>
      <c r="J277" s="20"/>
      <c r="K277" s="20"/>
      <c r="L277" s="20"/>
      <c r="M277" s="21"/>
      <c r="N277" s="22"/>
      <c r="O277" s="23"/>
      <c r="P277" s="54"/>
      <c r="Q277" s="23"/>
      <c r="R277" s="20"/>
      <c r="S277" s="20"/>
      <c r="T277" s="20"/>
      <c r="U277" s="3"/>
    </row>
    <row r="278" spans="1:21" ht="20.100000000000001" customHeight="1" x14ac:dyDescent="0.3">
      <c r="A278" s="20"/>
      <c r="B278" s="20"/>
      <c r="C278" s="20"/>
      <c r="D278" s="20"/>
      <c r="E278" s="20"/>
      <c r="F278" s="2"/>
      <c r="G278" s="20"/>
      <c r="H278" s="20"/>
      <c r="I278" s="21"/>
      <c r="J278" s="20"/>
      <c r="K278" s="20"/>
      <c r="L278" s="20"/>
      <c r="M278" s="21"/>
      <c r="N278" s="22"/>
      <c r="O278" s="23"/>
      <c r="P278" s="54"/>
      <c r="Q278" s="23"/>
      <c r="R278" s="20"/>
      <c r="S278" s="20"/>
      <c r="T278" s="20"/>
      <c r="U278" s="3"/>
    </row>
    <row r="279" spans="1:21" ht="20.100000000000001" customHeight="1" x14ac:dyDescent="0.3">
      <c r="A279" s="20"/>
      <c r="B279" s="20"/>
      <c r="C279" s="20"/>
      <c r="D279" s="20"/>
      <c r="E279" s="20"/>
      <c r="F279" s="2"/>
      <c r="G279" s="20"/>
      <c r="H279" s="20"/>
      <c r="I279" s="21"/>
      <c r="J279" s="20"/>
      <c r="K279" s="20"/>
      <c r="L279" s="20"/>
      <c r="M279" s="21"/>
      <c r="N279" s="22"/>
      <c r="O279" s="23"/>
      <c r="P279" s="54"/>
      <c r="Q279" s="23"/>
      <c r="R279" s="20"/>
      <c r="S279" s="20"/>
      <c r="T279" s="20"/>
      <c r="U279" s="3"/>
    </row>
    <row r="280" spans="1:21" ht="20.100000000000001" customHeight="1" x14ac:dyDescent="0.3">
      <c r="A280" s="20"/>
      <c r="B280" s="20"/>
      <c r="C280" s="20"/>
      <c r="D280" s="20"/>
      <c r="E280" s="20"/>
      <c r="F280" s="2"/>
      <c r="G280" s="20"/>
      <c r="H280" s="20"/>
      <c r="I280" s="21"/>
      <c r="J280" s="20"/>
      <c r="K280" s="20"/>
      <c r="L280" s="20"/>
      <c r="M280" s="21"/>
      <c r="N280" s="22"/>
      <c r="O280" s="23"/>
      <c r="P280" s="54"/>
      <c r="Q280" s="23"/>
      <c r="R280" s="20"/>
      <c r="S280" s="20"/>
      <c r="T280" s="20"/>
      <c r="U280" s="3"/>
    </row>
    <row r="281" spans="1:21" ht="20.100000000000001" customHeight="1" x14ac:dyDescent="0.3">
      <c r="A281" s="20"/>
      <c r="B281" s="20"/>
      <c r="C281" s="20"/>
      <c r="D281" s="20"/>
      <c r="E281" s="20"/>
      <c r="F281" s="2"/>
      <c r="G281" s="20"/>
      <c r="H281" s="20"/>
      <c r="I281" s="21"/>
      <c r="J281" s="20"/>
      <c r="K281" s="20"/>
      <c r="L281" s="20"/>
      <c r="M281" s="21"/>
      <c r="N281" s="22"/>
      <c r="O281" s="23"/>
      <c r="P281" s="54"/>
      <c r="Q281" s="23"/>
      <c r="R281" s="20"/>
      <c r="S281" s="20"/>
      <c r="T281" s="20"/>
      <c r="U281" s="3"/>
    </row>
    <row r="282" spans="1:21" ht="20.100000000000001" customHeight="1" x14ac:dyDescent="0.3">
      <c r="A282" s="20"/>
      <c r="B282" s="20"/>
      <c r="C282" s="20"/>
      <c r="D282" s="20"/>
      <c r="E282" s="20"/>
      <c r="F282" s="2"/>
      <c r="G282" s="20"/>
      <c r="H282" s="20"/>
      <c r="I282" s="21"/>
      <c r="J282" s="20"/>
      <c r="K282" s="20"/>
      <c r="L282" s="20"/>
      <c r="M282" s="21"/>
      <c r="N282" s="22"/>
      <c r="O282" s="23"/>
      <c r="P282" s="54"/>
      <c r="Q282" s="23"/>
      <c r="R282" s="20"/>
      <c r="S282" s="20"/>
      <c r="T282" s="20"/>
      <c r="U282" s="3"/>
    </row>
    <row r="283" spans="1:21" ht="20.100000000000001" customHeight="1" x14ac:dyDescent="0.3">
      <c r="A283" s="20"/>
      <c r="B283" s="20"/>
      <c r="C283" s="20"/>
      <c r="D283" s="20"/>
      <c r="E283" s="20"/>
      <c r="F283" s="2"/>
      <c r="G283" s="20"/>
      <c r="H283" s="20"/>
      <c r="I283" s="21"/>
      <c r="J283" s="20"/>
      <c r="K283" s="20"/>
      <c r="L283" s="20"/>
      <c r="M283" s="21"/>
      <c r="N283" s="22"/>
      <c r="O283" s="23"/>
      <c r="P283" s="54"/>
      <c r="Q283" s="23"/>
      <c r="R283" s="20"/>
      <c r="S283" s="20"/>
      <c r="T283" s="20"/>
      <c r="U283" s="3"/>
    </row>
    <row r="284" spans="1:21" ht="20.100000000000001" customHeight="1" x14ac:dyDescent="0.3">
      <c r="A284" s="20"/>
      <c r="B284" s="20"/>
      <c r="C284" s="20"/>
      <c r="D284" s="20"/>
      <c r="E284" s="20"/>
      <c r="F284" s="2"/>
      <c r="G284" s="20"/>
      <c r="H284" s="20"/>
      <c r="I284" s="21"/>
      <c r="J284" s="20"/>
      <c r="K284" s="20"/>
      <c r="L284" s="20"/>
      <c r="M284" s="21"/>
      <c r="N284" s="22"/>
      <c r="O284" s="23"/>
      <c r="P284" s="54"/>
      <c r="Q284" s="23"/>
      <c r="R284" s="20"/>
      <c r="S284" s="20"/>
      <c r="T284" s="20"/>
      <c r="U284" s="3"/>
    </row>
    <row r="285" spans="1:21" ht="20.100000000000001" customHeight="1" x14ac:dyDescent="0.3">
      <c r="A285" s="20"/>
      <c r="B285" s="20"/>
      <c r="C285" s="20"/>
      <c r="D285" s="20"/>
      <c r="E285" s="20"/>
      <c r="F285" s="2"/>
      <c r="G285" s="20"/>
      <c r="H285" s="20"/>
      <c r="I285" s="21"/>
      <c r="J285" s="20"/>
      <c r="K285" s="20"/>
      <c r="L285" s="20"/>
      <c r="M285" s="21"/>
      <c r="N285" s="22"/>
      <c r="O285" s="23"/>
      <c r="P285" s="54"/>
      <c r="Q285" s="23"/>
      <c r="R285" s="20"/>
      <c r="S285" s="20"/>
      <c r="T285" s="20"/>
      <c r="U285" s="3"/>
    </row>
    <row r="286" spans="1:21" ht="20.100000000000001" customHeight="1" x14ac:dyDescent="0.3">
      <c r="A286" s="20"/>
      <c r="B286" s="20"/>
      <c r="C286" s="20"/>
      <c r="D286" s="20"/>
      <c r="E286" s="20"/>
      <c r="F286" s="2"/>
      <c r="G286" s="20"/>
      <c r="H286" s="20"/>
      <c r="I286" s="21"/>
      <c r="J286" s="20"/>
      <c r="K286" s="20"/>
      <c r="L286" s="20"/>
      <c r="M286" s="21"/>
      <c r="N286" s="22"/>
      <c r="O286" s="23"/>
      <c r="P286" s="54"/>
      <c r="Q286" s="23"/>
      <c r="R286" s="20"/>
      <c r="S286" s="20"/>
      <c r="T286" s="20"/>
      <c r="U286" s="3"/>
    </row>
    <row r="287" spans="1:21" ht="20.100000000000001" customHeight="1" x14ac:dyDescent="0.3">
      <c r="A287" s="20"/>
      <c r="B287" s="20"/>
      <c r="C287" s="20"/>
      <c r="D287" s="20"/>
      <c r="E287" s="20"/>
      <c r="F287" s="2"/>
      <c r="G287" s="20"/>
      <c r="H287" s="20"/>
      <c r="I287" s="21"/>
      <c r="J287" s="20"/>
      <c r="K287" s="20"/>
      <c r="L287" s="20"/>
      <c r="M287" s="21"/>
      <c r="N287" s="22"/>
      <c r="O287" s="23"/>
      <c r="P287" s="54"/>
      <c r="Q287" s="23"/>
      <c r="R287" s="20"/>
      <c r="S287" s="20"/>
      <c r="T287" s="20"/>
      <c r="U287" s="3"/>
    </row>
    <row r="288" spans="1:21" ht="20.100000000000001" customHeight="1" x14ac:dyDescent="0.3">
      <c r="A288" s="20"/>
      <c r="B288" s="20"/>
      <c r="C288" s="20"/>
      <c r="D288" s="20"/>
      <c r="E288" s="20"/>
      <c r="F288" s="2"/>
      <c r="G288" s="20"/>
      <c r="H288" s="20"/>
      <c r="I288" s="21"/>
      <c r="J288" s="20"/>
      <c r="K288" s="20"/>
      <c r="L288" s="20"/>
      <c r="M288" s="21"/>
      <c r="N288" s="22"/>
      <c r="O288" s="23"/>
      <c r="P288" s="54"/>
      <c r="Q288" s="23"/>
      <c r="R288" s="20"/>
      <c r="S288" s="20"/>
      <c r="T288" s="20"/>
      <c r="U288" s="3"/>
    </row>
    <row r="289" spans="1:21" ht="20.100000000000001" customHeight="1" x14ac:dyDescent="0.3">
      <c r="A289" s="20"/>
      <c r="B289" s="20"/>
      <c r="C289" s="20"/>
      <c r="D289" s="20"/>
      <c r="E289" s="20"/>
      <c r="F289" s="2"/>
      <c r="G289" s="20"/>
      <c r="H289" s="20"/>
      <c r="I289" s="21"/>
      <c r="J289" s="20"/>
      <c r="K289" s="20"/>
      <c r="L289" s="20"/>
      <c r="M289" s="21"/>
      <c r="N289" s="22"/>
      <c r="O289" s="23"/>
      <c r="P289" s="54"/>
      <c r="Q289" s="23"/>
      <c r="R289" s="20"/>
      <c r="S289" s="20"/>
      <c r="T289" s="20"/>
      <c r="U289" s="3"/>
    </row>
    <row r="290" spans="1:21" ht="20.100000000000001" customHeight="1" x14ac:dyDescent="0.3">
      <c r="A290" s="20"/>
      <c r="B290" s="20"/>
      <c r="C290" s="20"/>
      <c r="D290" s="20"/>
      <c r="E290" s="20"/>
      <c r="F290" s="2"/>
      <c r="G290" s="20"/>
      <c r="H290" s="20"/>
      <c r="I290" s="21"/>
      <c r="J290" s="20"/>
      <c r="K290" s="20"/>
      <c r="L290" s="20"/>
      <c r="M290" s="21"/>
      <c r="N290" s="22"/>
      <c r="O290" s="23"/>
      <c r="P290" s="54"/>
      <c r="Q290" s="23"/>
      <c r="R290" s="20"/>
      <c r="S290" s="20"/>
      <c r="T290" s="20"/>
      <c r="U290" s="3"/>
    </row>
    <row r="291" spans="1:21" ht="20.100000000000001" customHeight="1" x14ac:dyDescent="0.3">
      <c r="A291" s="20"/>
      <c r="B291" s="20"/>
      <c r="C291" s="20"/>
      <c r="D291" s="20"/>
      <c r="E291" s="20"/>
      <c r="F291" s="2"/>
      <c r="G291" s="20"/>
      <c r="H291" s="20"/>
      <c r="I291" s="21"/>
      <c r="J291" s="20"/>
      <c r="K291" s="20"/>
      <c r="L291" s="20"/>
      <c r="M291" s="21"/>
      <c r="N291" s="22"/>
      <c r="O291" s="23"/>
      <c r="P291" s="54"/>
      <c r="Q291" s="23"/>
      <c r="R291" s="20"/>
      <c r="S291" s="20"/>
      <c r="T291" s="20"/>
      <c r="U291" s="3"/>
    </row>
    <row r="292" spans="1:21" ht="20.100000000000001" customHeight="1" x14ac:dyDescent="0.3">
      <c r="U292" s="3"/>
    </row>
    <row r="293" spans="1:21" ht="20.100000000000001" customHeight="1" x14ac:dyDescent="0.3">
      <c r="U293" s="3"/>
    </row>
    <row r="294" spans="1:21" ht="20.100000000000001" customHeight="1" x14ac:dyDescent="0.3">
      <c r="U294" s="3"/>
    </row>
    <row r="295" spans="1:21" ht="20.100000000000001" customHeight="1" x14ac:dyDescent="0.3">
      <c r="U295" s="3"/>
    </row>
    <row r="296" spans="1:21" ht="20.100000000000001" customHeight="1" x14ac:dyDescent="0.3">
      <c r="U296" s="3"/>
    </row>
    <row r="297" spans="1:21" ht="20.100000000000001" customHeight="1" x14ac:dyDescent="0.3">
      <c r="U297" s="3"/>
    </row>
    <row r="298" spans="1:21" ht="20.100000000000001" customHeight="1" x14ac:dyDescent="0.3">
      <c r="U298" s="3"/>
    </row>
    <row r="299" spans="1:21" ht="20.100000000000001" customHeight="1" x14ac:dyDescent="0.3">
      <c r="U299" s="3"/>
    </row>
    <row r="300" spans="1:21" ht="20.100000000000001" customHeight="1" x14ac:dyDescent="0.3">
      <c r="U300" s="3"/>
    </row>
    <row r="301" spans="1:21" ht="20.100000000000001" customHeight="1" x14ac:dyDescent="0.3">
      <c r="U301" s="3"/>
    </row>
    <row r="302" spans="1:21" ht="20.100000000000001" customHeight="1" x14ac:dyDescent="0.3">
      <c r="U302" s="3"/>
    </row>
    <row r="303" spans="1:21" ht="20.100000000000001" customHeight="1" x14ac:dyDescent="0.3">
      <c r="U303" s="3"/>
    </row>
    <row r="304" spans="1:21" ht="20.100000000000001" customHeight="1" x14ac:dyDescent="0.3">
      <c r="U304" s="3"/>
    </row>
    <row r="305" spans="21:21" ht="20.100000000000001" customHeight="1" x14ac:dyDescent="0.3">
      <c r="U305" s="3"/>
    </row>
    <row r="306" spans="21:21" ht="20.100000000000001" customHeight="1" x14ac:dyDescent="0.3">
      <c r="U306" s="3"/>
    </row>
    <row r="307" spans="21:21" ht="20.100000000000001" customHeight="1" x14ac:dyDescent="0.3">
      <c r="U307" s="3"/>
    </row>
    <row r="308" spans="21:21" ht="20.100000000000001" customHeight="1" x14ac:dyDescent="0.3">
      <c r="U308" s="3"/>
    </row>
    <row r="309" spans="21:21" ht="20.100000000000001" customHeight="1" x14ac:dyDescent="0.3">
      <c r="U309" s="3"/>
    </row>
    <row r="310" spans="21:21" ht="20.100000000000001" customHeight="1" x14ac:dyDescent="0.3">
      <c r="U310" s="3"/>
    </row>
    <row r="311" spans="21:21" ht="20.100000000000001" customHeight="1" x14ac:dyDescent="0.3">
      <c r="U311" s="3"/>
    </row>
    <row r="312" spans="21:21" ht="20.100000000000001" customHeight="1" x14ac:dyDescent="0.3">
      <c r="U312" s="3"/>
    </row>
    <row r="313" spans="21:21" ht="20.100000000000001" customHeight="1" x14ac:dyDescent="0.3">
      <c r="U313" s="3"/>
    </row>
    <row r="314" spans="21:21" ht="20.100000000000001" customHeight="1" x14ac:dyDescent="0.3">
      <c r="U314" s="3"/>
    </row>
    <row r="315" spans="21:21" ht="20.100000000000001" customHeight="1" x14ac:dyDescent="0.3">
      <c r="U315" s="3"/>
    </row>
    <row r="316" spans="21:21" ht="20.100000000000001" customHeight="1" x14ac:dyDescent="0.3">
      <c r="U316" s="3"/>
    </row>
    <row r="317" spans="21:21" ht="20.100000000000001" customHeight="1" x14ac:dyDescent="0.3">
      <c r="U317" s="3"/>
    </row>
    <row r="318" spans="21:21" ht="20.100000000000001" customHeight="1" x14ac:dyDescent="0.3">
      <c r="U318" s="3"/>
    </row>
    <row r="319" spans="21:21" ht="20.100000000000001" customHeight="1" x14ac:dyDescent="0.3">
      <c r="U319" s="3"/>
    </row>
    <row r="320" spans="21:21" ht="20.100000000000001" customHeight="1" x14ac:dyDescent="0.3">
      <c r="U320" s="3"/>
    </row>
    <row r="321" spans="21:21" ht="20.100000000000001" customHeight="1" x14ac:dyDescent="0.3">
      <c r="U321" s="3"/>
    </row>
    <row r="322" spans="21:21" ht="20.100000000000001" customHeight="1" x14ac:dyDescent="0.3">
      <c r="U322" s="3"/>
    </row>
    <row r="323" spans="21:21" ht="20.100000000000001" customHeight="1" x14ac:dyDescent="0.3">
      <c r="U323" s="3"/>
    </row>
    <row r="324" spans="21:21" ht="20.100000000000001" customHeight="1" x14ac:dyDescent="0.3">
      <c r="U324" s="3"/>
    </row>
    <row r="325" spans="21:21" ht="20.100000000000001" customHeight="1" x14ac:dyDescent="0.3">
      <c r="U325" s="3"/>
    </row>
    <row r="326" spans="21:21" ht="20.100000000000001" customHeight="1" x14ac:dyDescent="0.3">
      <c r="U326" s="3"/>
    </row>
    <row r="327" spans="21:21" ht="20.100000000000001" customHeight="1" x14ac:dyDescent="0.3">
      <c r="U327" s="3"/>
    </row>
    <row r="328" spans="21:21" ht="20.100000000000001" customHeight="1" x14ac:dyDescent="0.3">
      <c r="U328" s="3"/>
    </row>
    <row r="329" spans="21:21" ht="20.100000000000001" customHeight="1" x14ac:dyDescent="0.3">
      <c r="U329" s="3"/>
    </row>
    <row r="330" spans="21:21" ht="20.100000000000001" customHeight="1" x14ac:dyDescent="0.3">
      <c r="U330" s="3"/>
    </row>
    <row r="331" spans="21:21" ht="20.100000000000001" customHeight="1" x14ac:dyDescent="0.3">
      <c r="U331" s="3"/>
    </row>
    <row r="332" spans="21:21" ht="20.100000000000001" customHeight="1" x14ac:dyDescent="0.3">
      <c r="U332" s="3"/>
    </row>
    <row r="333" spans="21:21" ht="20.100000000000001" customHeight="1" x14ac:dyDescent="0.3">
      <c r="U333" s="3"/>
    </row>
    <row r="334" spans="21:21" ht="20.100000000000001" customHeight="1" x14ac:dyDescent="0.3">
      <c r="U334" s="3"/>
    </row>
    <row r="335" spans="21:21" ht="20.100000000000001" customHeight="1" x14ac:dyDescent="0.3">
      <c r="U335" s="3"/>
    </row>
    <row r="336" spans="21:21" ht="20.100000000000001" customHeight="1" x14ac:dyDescent="0.3">
      <c r="U336" s="3"/>
    </row>
    <row r="337" spans="21:21" ht="20.100000000000001" customHeight="1" x14ac:dyDescent="0.3">
      <c r="U337" s="3"/>
    </row>
    <row r="338" spans="21:21" ht="20.100000000000001" customHeight="1" x14ac:dyDescent="0.3">
      <c r="U338" s="3"/>
    </row>
    <row r="339" spans="21:21" ht="20.100000000000001" customHeight="1" x14ac:dyDescent="0.3">
      <c r="U339" s="3"/>
    </row>
    <row r="340" spans="21:21" ht="20.100000000000001" customHeight="1" x14ac:dyDescent="0.3">
      <c r="U340" s="3"/>
    </row>
    <row r="341" spans="21:21" ht="20.100000000000001" customHeight="1" x14ac:dyDescent="0.3">
      <c r="U341" s="3"/>
    </row>
    <row r="342" spans="21:21" ht="20.100000000000001" customHeight="1" x14ac:dyDescent="0.3">
      <c r="U342" s="3"/>
    </row>
    <row r="343" spans="21:21" ht="20.100000000000001" customHeight="1" x14ac:dyDescent="0.3">
      <c r="U343" s="3"/>
    </row>
    <row r="344" spans="21:21" ht="20.100000000000001" customHeight="1" x14ac:dyDescent="0.3">
      <c r="U344" s="3"/>
    </row>
    <row r="345" spans="21:21" ht="20.100000000000001" customHeight="1" x14ac:dyDescent="0.3">
      <c r="U345" s="3"/>
    </row>
    <row r="346" spans="21:21" ht="20.100000000000001" customHeight="1" x14ac:dyDescent="0.3">
      <c r="U346" s="3"/>
    </row>
    <row r="347" spans="21:21" ht="20.100000000000001" customHeight="1" x14ac:dyDescent="0.3">
      <c r="U347" s="3"/>
    </row>
    <row r="348" spans="21:21" ht="20.100000000000001" customHeight="1" x14ac:dyDescent="0.3">
      <c r="U348" s="3"/>
    </row>
    <row r="349" spans="21:21" ht="20.100000000000001" customHeight="1" x14ac:dyDescent="0.3">
      <c r="U349" s="3"/>
    </row>
    <row r="350" spans="21:21" ht="20.100000000000001" customHeight="1" x14ac:dyDescent="0.3">
      <c r="U350" s="3"/>
    </row>
    <row r="351" spans="21:21" ht="20.100000000000001" customHeight="1" x14ac:dyDescent="0.3">
      <c r="U351" s="3"/>
    </row>
    <row r="352" spans="21:21" ht="20.100000000000001" customHeight="1" x14ac:dyDescent="0.3">
      <c r="U352" s="3"/>
    </row>
    <row r="353" spans="21:21" ht="20.100000000000001" customHeight="1" x14ac:dyDescent="0.3">
      <c r="U353" s="3"/>
    </row>
    <row r="354" spans="21:21" ht="20.100000000000001" customHeight="1" x14ac:dyDescent="0.3">
      <c r="U354" s="3"/>
    </row>
    <row r="355" spans="21:21" ht="20.100000000000001" customHeight="1" x14ac:dyDescent="0.3">
      <c r="U355" s="3"/>
    </row>
    <row r="356" spans="21:21" ht="20.100000000000001" customHeight="1" x14ac:dyDescent="0.3">
      <c r="U356" s="3"/>
    </row>
    <row r="357" spans="21:21" ht="20.100000000000001" customHeight="1" x14ac:dyDescent="0.3">
      <c r="U357" s="3"/>
    </row>
    <row r="358" spans="21:21" ht="20.100000000000001" customHeight="1" x14ac:dyDescent="0.3">
      <c r="U358" s="3"/>
    </row>
    <row r="359" spans="21:21" ht="20.100000000000001" customHeight="1" x14ac:dyDescent="0.3">
      <c r="U359" s="3"/>
    </row>
    <row r="360" spans="21:21" ht="20.100000000000001" customHeight="1" x14ac:dyDescent="0.3">
      <c r="U360" s="3"/>
    </row>
    <row r="361" spans="21:21" ht="20.100000000000001" customHeight="1" x14ac:dyDescent="0.3">
      <c r="U361" s="3"/>
    </row>
    <row r="362" spans="21:21" ht="20.100000000000001" customHeight="1" x14ac:dyDescent="0.3">
      <c r="U362" s="3"/>
    </row>
    <row r="363" spans="21:21" ht="20.100000000000001" customHeight="1" x14ac:dyDescent="0.3">
      <c r="U363" s="3"/>
    </row>
    <row r="364" spans="21:21" ht="20.100000000000001" customHeight="1" x14ac:dyDescent="0.3">
      <c r="U364" s="3"/>
    </row>
    <row r="365" spans="21:21" ht="20.100000000000001" customHeight="1" x14ac:dyDescent="0.3">
      <c r="U365" s="3"/>
    </row>
    <row r="366" spans="21:21" ht="20.100000000000001" customHeight="1" x14ac:dyDescent="0.3">
      <c r="U366" s="3"/>
    </row>
    <row r="367" spans="21:21" ht="20.100000000000001" customHeight="1" x14ac:dyDescent="0.3">
      <c r="U367" s="3"/>
    </row>
    <row r="368" spans="21:21" ht="20.100000000000001" customHeight="1" x14ac:dyDescent="0.3">
      <c r="U368" s="3"/>
    </row>
    <row r="369" spans="21:21" ht="20.100000000000001" customHeight="1" x14ac:dyDescent="0.3">
      <c r="U369" s="3"/>
    </row>
    <row r="370" spans="21:21" ht="20.100000000000001" customHeight="1" x14ac:dyDescent="0.3">
      <c r="U370" s="3"/>
    </row>
    <row r="371" spans="21:21" ht="20.100000000000001" customHeight="1" x14ac:dyDescent="0.3">
      <c r="U371" s="3"/>
    </row>
    <row r="372" spans="21:21" ht="20.100000000000001" customHeight="1" x14ac:dyDescent="0.3">
      <c r="U372" s="3"/>
    </row>
    <row r="373" spans="21:21" ht="20.100000000000001" customHeight="1" x14ac:dyDescent="0.3">
      <c r="U373" s="3"/>
    </row>
    <row r="374" spans="21:21" ht="20.100000000000001" customHeight="1" x14ac:dyDescent="0.3">
      <c r="U374" s="3"/>
    </row>
    <row r="375" spans="21:21" ht="20.100000000000001" customHeight="1" x14ac:dyDescent="0.3">
      <c r="U375" s="3"/>
    </row>
    <row r="376" spans="21:21" ht="20.100000000000001" customHeight="1" x14ac:dyDescent="0.3">
      <c r="U376" s="3"/>
    </row>
    <row r="377" spans="21:21" ht="20.100000000000001" customHeight="1" x14ac:dyDescent="0.3">
      <c r="U377" s="3"/>
    </row>
    <row r="378" spans="21:21" ht="20.100000000000001" customHeight="1" x14ac:dyDescent="0.3">
      <c r="U378" s="3"/>
    </row>
    <row r="379" spans="21:21" ht="20.100000000000001" customHeight="1" x14ac:dyDescent="0.3">
      <c r="U379" s="3"/>
    </row>
    <row r="380" spans="21:21" ht="20.100000000000001" customHeight="1" x14ac:dyDescent="0.3">
      <c r="U380" s="3"/>
    </row>
    <row r="381" spans="21:21" ht="20.100000000000001" customHeight="1" x14ac:dyDescent="0.3">
      <c r="U381" s="3"/>
    </row>
    <row r="382" spans="21:21" ht="20.100000000000001" customHeight="1" x14ac:dyDescent="0.3">
      <c r="U382" s="3"/>
    </row>
    <row r="383" spans="21:21" ht="20.100000000000001" customHeight="1" x14ac:dyDescent="0.3">
      <c r="U383" s="3"/>
    </row>
    <row r="384" spans="21:21" ht="20.100000000000001" customHeight="1" x14ac:dyDescent="0.3">
      <c r="U384" s="3"/>
    </row>
    <row r="385" spans="21:21" ht="20.100000000000001" customHeight="1" x14ac:dyDescent="0.3">
      <c r="U385" s="3"/>
    </row>
    <row r="386" spans="21:21" ht="20.100000000000001" customHeight="1" x14ac:dyDescent="0.3">
      <c r="U386" s="3"/>
    </row>
    <row r="387" spans="21:21" ht="20.100000000000001" customHeight="1" x14ac:dyDescent="0.3">
      <c r="U387" s="3"/>
    </row>
    <row r="388" spans="21:21" ht="20.100000000000001" customHeight="1" x14ac:dyDescent="0.3">
      <c r="U388" s="3"/>
    </row>
    <row r="389" spans="21:21" ht="20.100000000000001" customHeight="1" x14ac:dyDescent="0.3">
      <c r="U389" s="3"/>
    </row>
    <row r="390" spans="21:21" ht="20.100000000000001" customHeight="1" x14ac:dyDescent="0.3">
      <c r="U390" s="3"/>
    </row>
    <row r="391" spans="21:21" ht="20.100000000000001" customHeight="1" x14ac:dyDescent="0.3">
      <c r="U391" s="3"/>
    </row>
    <row r="392" spans="21:21" ht="20.100000000000001" customHeight="1" x14ac:dyDescent="0.3">
      <c r="U392" s="3"/>
    </row>
    <row r="393" spans="21:21" ht="20.100000000000001" customHeight="1" x14ac:dyDescent="0.3">
      <c r="U393" s="3"/>
    </row>
    <row r="394" spans="21:21" ht="20.100000000000001" customHeight="1" x14ac:dyDescent="0.3">
      <c r="U394" s="3"/>
    </row>
    <row r="395" spans="21:21" ht="20.100000000000001" customHeight="1" x14ac:dyDescent="0.3">
      <c r="U395" s="3"/>
    </row>
    <row r="396" spans="21:21" ht="20.100000000000001" customHeight="1" x14ac:dyDescent="0.3">
      <c r="U396" s="3"/>
    </row>
    <row r="397" spans="21:21" ht="20.100000000000001" customHeight="1" x14ac:dyDescent="0.3">
      <c r="U397" s="3"/>
    </row>
    <row r="398" spans="21:21" ht="20.100000000000001" customHeight="1" x14ac:dyDescent="0.3">
      <c r="U398" s="3"/>
    </row>
    <row r="399" spans="21:21" ht="20.100000000000001" customHeight="1" x14ac:dyDescent="0.3">
      <c r="U399" s="3"/>
    </row>
    <row r="400" spans="21:21" ht="20.100000000000001" customHeight="1" x14ac:dyDescent="0.3">
      <c r="U400" s="3"/>
    </row>
    <row r="401" spans="21:21" ht="20.100000000000001" customHeight="1" x14ac:dyDescent="0.3">
      <c r="U401" s="3"/>
    </row>
    <row r="402" spans="21:21" ht="20.100000000000001" customHeight="1" x14ac:dyDescent="0.3">
      <c r="U402" s="3"/>
    </row>
    <row r="403" spans="21:21" ht="20.100000000000001" customHeight="1" x14ac:dyDescent="0.3">
      <c r="U403" s="3"/>
    </row>
    <row r="404" spans="21:21" ht="20.100000000000001" customHeight="1" x14ac:dyDescent="0.3">
      <c r="U404" s="3"/>
    </row>
    <row r="405" spans="21:21" ht="20.100000000000001" customHeight="1" x14ac:dyDescent="0.3">
      <c r="U405" s="3"/>
    </row>
    <row r="406" spans="21:21" ht="20.100000000000001" customHeight="1" x14ac:dyDescent="0.3">
      <c r="U406" s="3"/>
    </row>
    <row r="407" spans="21:21" ht="20.100000000000001" customHeight="1" x14ac:dyDescent="0.3">
      <c r="U407" s="3"/>
    </row>
    <row r="408" spans="21:21" ht="20.100000000000001" customHeight="1" x14ac:dyDescent="0.3">
      <c r="U408" s="3"/>
    </row>
    <row r="409" spans="21:21" ht="20.100000000000001" customHeight="1" x14ac:dyDescent="0.3">
      <c r="U409" s="3"/>
    </row>
    <row r="410" spans="21:21" ht="20.100000000000001" customHeight="1" x14ac:dyDescent="0.3">
      <c r="U410" s="3"/>
    </row>
    <row r="411" spans="21:21" ht="20.100000000000001" customHeight="1" x14ac:dyDescent="0.3">
      <c r="U411" s="3"/>
    </row>
    <row r="412" spans="21:21" ht="20.100000000000001" customHeight="1" x14ac:dyDescent="0.3">
      <c r="U412" s="3"/>
    </row>
    <row r="413" spans="21:21" ht="20.100000000000001" customHeight="1" x14ac:dyDescent="0.3">
      <c r="U413" s="3"/>
    </row>
    <row r="414" spans="21:21" ht="20.100000000000001" customHeight="1" x14ac:dyDescent="0.3">
      <c r="U414" s="3"/>
    </row>
    <row r="415" spans="21:21" ht="20.100000000000001" customHeight="1" x14ac:dyDescent="0.3">
      <c r="U415" s="3"/>
    </row>
    <row r="416" spans="21:21" ht="20.100000000000001" customHeight="1" x14ac:dyDescent="0.3">
      <c r="U416" s="3"/>
    </row>
    <row r="417" spans="21:21" ht="20.100000000000001" customHeight="1" x14ac:dyDescent="0.3">
      <c r="U417" s="3"/>
    </row>
    <row r="418" spans="21:21" ht="20.100000000000001" customHeight="1" x14ac:dyDescent="0.3">
      <c r="U418" s="3"/>
    </row>
    <row r="419" spans="21:21" ht="20.100000000000001" customHeight="1" x14ac:dyDescent="0.3">
      <c r="U419" s="3"/>
    </row>
    <row r="420" spans="21:21" ht="20.100000000000001" customHeight="1" x14ac:dyDescent="0.3">
      <c r="U420" s="3"/>
    </row>
    <row r="421" spans="21:21" ht="20.100000000000001" customHeight="1" x14ac:dyDescent="0.3">
      <c r="U421" s="3"/>
    </row>
    <row r="422" spans="21:21" ht="20.100000000000001" customHeight="1" x14ac:dyDescent="0.3">
      <c r="U422" s="3"/>
    </row>
    <row r="423" spans="21:21" ht="20.100000000000001" customHeight="1" x14ac:dyDescent="0.3">
      <c r="U423" s="3"/>
    </row>
    <row r="424" spans="21:21" ht="20.100000000000001" customHeight="1" x14ac:dyDescent="0.3">
      <c r="U424" s="3"/>
    </row>
    <row r="425" spans="21:21" ht="20.100000000000001" customHeight="1" x14ac:dyDescent="0.3">
      <c r="U425" s="3"/>
    </row>
    <row r="426" spans="21:21" ht="20.100000000000001" customHeight="1" x14ac:dyDescent="0.3">
      <c r="U426" s="3"/>
    </row>
    <row r="427" spans="21:21" ht="20.100000000000001" customHeight="1" x14ac:dyDescent="0.3">
      <c r="U427" s="3"/>
    </row>
    <row r="428" spans="21:21" ht="20.100000000000001" customHeight="1" x14ac:dyDescent="0.3">
      <c r="U428" s="3"/>
    </row>
    <row r="429" spans="21:21" ht="20.100000000000001" customHeight="1" x14ac:dyDescent="0.3">
      <c r="U429" s="3"/>
    </row>
    <row r="430" spans="21:21" ht="20.100000000000001" customHeight="1" x14ac:dyDescent="0.3">
      <c r="U430" s="3"/>
    </row>
    <row r="431" spans="21:21" ht="20.100000000000001" customHeight="1" x14ac:dyDescent="0.3">
      <c r="U431" s="3"/>
    </row>
    <row r="432" spans="21:21" ht="20.100000000000001" customHeight="1" x14ac:dyDescent="0.3">
      <c r="U432" s="3"/>
    </row>
    <row r="433" spans="21:21" ht="20.100000000000001" customHeight="1" x14ac:dyDescent="0.3">
      <c r="U433" s="3"/>
    </row>
    <row r="434" spans="21:21" ht="20.100000000000001" customHeight="1" x14ac:dyDescent="0.3">
      <c r="U434" s="3"/>
    </row>
    <row r="435" spans="21:21" ht="20.100000000000001" customHeight="1" x14ac:dyDescent="0.3">
      <c r="U435" s="3"/>
    </row>
    <row r="436" spans="21:21" ht="20.100000000000001" customHeight="1" x14ac:dyDescent="0.3">
      <c r="U436" s="3"/>
    </row>
    <row r="437" spans="21:21" ht="20.100000000000001" customHeight="1" x14ac:dyDescent="0.3">
      <c r="U437" s="3"/>
    </row>
    <row r="438" spans="21:21" ht="20.100000000000001" customHeight="1" x14ac:dyDescent="0.3">
      <c r="U438" s="3"/>
    </row>
    <row r="439" spans="21:21" ht="20.100000000000001" customHeight="1" x14ac:dyDescent="0.3">
      <c r="U439" s="3"/>
    </row>
    <row r="440" spans="21:21" ht="20.100000000000001" customHeight="1" x14ac:dyDescent="0.3">
      <c r="U440" s="3"/>
    </row>
    <row r="441" spans="21:21" ht="20.100000000000001" customHeight="1" x14ac:dyDescent="0.3">
      <c r="U441" s="3"/>
    </row>
    <row r="442" spans="21:21" ht="20.100000000000001" customHeight="1" x14ac:dyDescent="0.3">
      <c r="U442" s="3"/>
    </row>
    <row r="443" spans="21:21" ht="20.100000000000001" customHeight="1" x14ac:dyDescent="0.3">
      <c r="U443" s="3"/>
    </row>
    <row r="444" spans="21:21" ht="20.100000000000001" customHeight="1" x14ac:dyDescent="0.3">
      <c r="U444" s="3"/>
    </row>
    <row r="445" spans="21:21" ht="20.100000000000001" customHeight="1" x14ac:dyDescent="0.3">
      <c r="U445" s="3"/>
    </row>
    <row r="446" spans="21:21" ht="20.100000000000001" customHeight="1" x14ac:dyDescent="0.3">
      <c r="U446" s="3"/>
    </row>
    <row r="447" spans="21:21" ht="20.100000000000001" customHeight="1" x14ac:dyDescent="0.3">
      <c r="U447" s="3"/>
    </row>
    <row r="448" spans="21:21" ht="20.100000000000001" customHeight="1" x14ac:dyDescent="0.3">
      <c r="U448" s="3"/>
    </row>
    <row r="449" spans="21:21" ht="20.100000000000001" customHeight="1" x14ac:dyDescent="0.3">
      <c r="U449" s="3"/>
    </row>
    <row r="450" spans="21:21" ht="20.100000000000001" customHeight="1" x14ac:dyDescent="0.3">
      <c r="U450" s="3"/>
    </row>
    <row r="451" spans="21:21" ht="20.100000000000001" customHeight="1" x14ac:dyDescent="0.3">
      <c r="U451" s="3"/>
    </row>
    <row r="452" spans="21:21" ht="20.100000000000001" customHeight="1" x14ac:dyDescent="0.3">
      <c r="U452" s="3"/>
    </row>
    <row r="453" spans="21:21" ht="20.100000000000001" customHeight="1" x14ac:dyDescent="0.3">
      <c r="U453" s="3"/>
    </row>
    <row r="454" spans="21:21" ht="20.100000000000001" customHeight="1" x14ac:dyDescent="0.3">
      <c r="U454" s="3"/>
    </row>
    <row r="455" spans="21:21" ht="20.100000000000001" customHeight="1" x14ac:dyDescent="0.3">
      <c r="U455" s="3"/>
    </row>
    <row r="456" spans="21:21" ht="20.100000000000001" customHeight="1" x14ac:dyDescent="0.3">
      <c r="U456" s="3"/>
    </row>
    <row r="457" spans="21:21" ht="20.100000000000001" customHeight="1" x14ac:dyDescent="0.3">
      <c r="U457" s="3"/>
    </row>
    <row r="458" spans="21:21" ht="20.100000000000001" customHeight="1" x14ac:dyDescent="0.3">
      <c r="U458" s="3"/>
    </row>
    <row r="459" spans="21:21" ht="20.100000000000001" customHeight="1" x14ac:dyDescent="0.3">
      <c r="U459" s="3"/>
    </row>
    <row r="460" spans="21:21" ht="20.100000000000001" customHeight="1" x14ac:dyDescent="0.3">
      <c r="U460" s="3"/>
    </row>
    <row r="461" spans="21:21" ht="20.100000000000001" customHeight="1" x14ac:dyDescent="0.3">
      <c r="U461" s="3"/>
    </row>
    <row r="462" spans="21:21" ht="20.100000000000001" customHeight="1" x14ac:dyDescent="0.3">
      <c r="U462" s="3"/>
    </row>
    <row r="463" spans="21:21" ht="20.100000000000001" customHeight="1" x14ac:dyDescent="0.3">
      <c r="U463" s="3"/>
    </row>
    <row r="464" spans="21:21" ht="20.100000000000001" customHeight="1" x14ac:dyDescent="0.3">
      <c r="U464" s="3"/>
    </row>
    <row r="465" spans="21:21" ht="20.100000000000001" customHeight="1" x14ac:dyDescent="0.3">
      <c r="U465" s="3"/>
    </row>
    <row r="466" spans="21:21" ht="20.100000000000001" customHeight="1" x14ac:dyDescent="0.3">
      <c r="U466" s="3"/>
    </row>
    <row r="467" spans="21:21" ht="20.100000000000001" customHeight="1" x14ac:dyDescent="0.3">
      <c r="U467" s="3"/>
    </row>
    <row r="468" spans="21:21" ht="20.100000000000001" customHeight="1" x14ac:dyDescent="0.3">
      <c r="U468" s="3"/>
    </row>
    <row r="469" spans="21:21" ht="20.100000000000001" customHeight="1" x14ac:dyDescent="0.3">
      <c r="U469" s="3"/>
    </row>
    <row r="470" spans="21:21" ht="20.100000000000001" customHeight="1" x14ac:dyDescent="0.3">
      <c r="U470" s="3"/>
    </row>
    <row r="471" spans="21:21" ht="20.100000000000001" customHeight="1" x14ac:dyDescent="0.3">
      <c r="U471" s="3"/>
    </row>
    <row r="472" spans="21:21" ht="20.100000000000001" customHeight="1" x14ac:dyDescent="0.3">
      <c r="U472" s="3"/>
    </row>
    <row r="473" spans="21:21" ht="20.100000000000001" customHeight="1" x14ac:dyDescent="0.3">
      <c r="U473" s="3"/>
    </row>
    <row r="474" spans="21:21" ht="20.100000000000001" customHeight="1" x14ac:dyDescent="0.3">
      <c r="U474" s="3"/>
    </row>
    <row r="475" spans="21:21" ht="20.100000000000001" customHeight="1" x14ac:dyDescent="0.3">
      <c r="U475" s="3"/>
    </row>
    <row r="476" spans="21:21" ht="20.100000000000001" customHeight="1" x14ac:dyDescent="0.3">
      <c r="U476" s="3"/>
    </row>
    <row r="477" spans="21:21" ht="20.100000000000001" customHeight="1" x14ac:dyDescent="0.3">
      <c r="U477" s="3"/>
    </row>
    <row r="478" spans="21:21" ht="20.100000000000001" customHeight="1" x14ac:dyDescent="0.3">
      <c r="U478" s="3"/>
    </row>
    <row r="479" spans="21:21" ht="20.100000000000001" customHeight="1" x14ac:dyDescent="0.3">
      <c r="U479" s="3"/>
    </row>
    <row r="480" spans="21:21" ht="20.100000000000001" customHeight="1" x14ac:dyDescent="0.3">
      <c r="U480" s="3"/>
    </row>
    <row r="481" spans="21:21" ht="20.100000000000001" customHeight="1" x14ac:dyDescent="0.3">
      <c r="U481" s="3"/>
    </row>
    <row r="482" spans="21:21" ht="20.100000000000001" customHeight="1" x14ac:dyDescent="0.3">
      <c r="U482" s="3"/>
    </row>
    <row r="483" spans="21:21" ht="20.100000000000001" customHeight="1" x14ac:dyDescent="0.3">
      <c r="U483" s="3"/>
    </row>
    <row r="484" spans="21:21" ht="20.100000000000001" customHeight="1" x14ac:dyDescent="0.3">
      <c r="U484" s="3"/>
    </row>
    <row r="485" spans="21:21" ht="20.100000000000001" customHeight="1" x14ac:dyDescent="0.3">
      <c r="U485" s="3"/>
    </row>
    <row r="486" spans="21:21" ht="20.100000000000001" customHeight="1" x14ac:dyDescent="0.3">
      <c r="U486" s="3"/>
    </row>
    <row r="487" spans="21:21" ht="20.100000000000001" customHeight="1" x14ac:dyDescent="0.3">
      <c r="U487" s="3"/>
    </row>
    <row r="488" spans="21:21" ht="20.100000000000001" customHeight="1" x14ac:dyDescent="0.3">
      <c r="U488" s="3"/>
    </row>
    <row r="489" spans="21:21" ht="20.100000000000001" customHeight="1" x14ac:dyDescent="0.3">
      <c r="U489" s="3"/>
    </row>
    <row r="490" spans="21:21" ht="20.100000000000001" customHeight="1" x14ac:dyDescent="0.3">
      <c r="U490" s="3"/>
    </row>
    <row r="491" spans="21:21" ht="20.100000000000001" customHeight="1" x14ac:dyDescent="0.3">
      <c r="U491" s="3"/>
    </row>
    <row r="492" spans="21:21" ht="20.100000000000001" customHeight="1" x14ac:dyDescent="0.3">
      <c r="U492" s="3"/>
    </row>
    <row r="493" spans="21:21" ht="20.100000000000001" customHeight="1" x14ac:dyDescent="0.3">
      <c r="U493" s="3"/>
    </row>
    <row r="494" spans="21:21" ht="20.100000000000001" customHeight="1" x14ac:dyDescent="0.3">
      <c r="U494" s="3"/>
    </row>
    <row r="495" spans="21:21" ht="20.100000000000001" customHeight="1" x14ac:dyDescent="0.3">
      <c r="U495" s="3"/>
    </row>
    <row r="496" spans="21:21" ht="20.100000000000001" customHeight="1" x14ac:dyDescent="0.3">
      <c r="U496" s="3"/>
    </row>
    <row r="497" spans="21:21" ht="20.100000000000001" customHeight="1" x14ac:dyDescent="0.3">
      <c r="U497" s="3"/>
    </row>
    <row r="498" spans="21:21" ht="20.100000000000001" customHeight="1" x14ac:dyDescent="0.3">
      <c r="U498" s="3"/>
    </row>
    <row r="499" spans="21:21" ht="20.100000000000001" customHeight="1" x14ac:dyDescent="0.3">
      <c r="U499" s="3"/>
    </row>
    <row r="500" spans="21:21" ht="20.100000000000001" customHeight="1" x14ac:dyDescent="0.3">
      <c r="U500" s="3"/>
    </row>
    <row r="501" spans="21:21" ht="20.100000000000001" customHeight="1" x14ac:dyDescent="0.3">
      <c r="U501" s="3"/>
    </row>
    <row r="502" spans="21:21" ht="20.100000000000001" customHeight="1" x14ac:dyDescent="0.3">
      <c r="U502" s="3"/>
    </row>
    <row r="503" spans="21:21" ht="20.100000000000001" customHeight="1" x14ac:dyDescent="0.3">
      <c r="U503" s="3"/>
    </row>
    <row r="504" spans="21:21" ht="20.100000000000001" customHeight="1" x14ac:dyDescent="0.3">
      <c r="U504" s="3"/>
    </row>
    <row r="505" spans="21:21" ht="20.100000000000001" customHeight="1" x14ac:dyDescent="0.3">
      <c r="U505" s="3"/>
    </row>
    <row r="506" spans="21:21" ht="20.100000000000001" customHeight="1" x14ac:dyDescent="0.3">
      <c r="U506" s="3"/>
    </row>
    <row r="507" spans="21:21" ht="20.100000000000001" customHeight="1" x14ac:dyDescent="0.3">
      <c r="U507" s="3"/>
    </row>
    <row r="508" spans="21:21" ht="20.100000000000001" customHeight="1" x14ac:dyDescent="0.3">
      <c r="U508" s="3"/>
    </row>
    <row r="509" spans="21:21" ht="20.100000000000001" customHeight="1" x14ac:dyDescent="0.3">
      <c r="U509" s="3"/>
    </row>
    <row r="510" spans="21:21" ht="20.100000000000001" customHeight="1" x14ac:dyDescent="0.3">
      <c r="U510" s="3"/>
    </row>
    <row r="511" spans="21:21" ht="20.100000000000001" customHeight="1" x14ac:dyDescent="0.3">
      <c r="U511" s="3"/>
    </row>
    <row r="512" spans="21:21" ht="20.100000000000001" customHeight="1" x14ac:dyDescent="0.3">
      <c r="U512" s="3"/>
    </row>
    <row r="513" spans="21:21" ht="20.100000000000001" customHeight="1" x14ac:dyDescent="0.3">
      <c r="U513" s="3"/>
    </row>
    <row r="514" spans="21:21" ht="20.100000000000001" customHeight="1" x14ac:dyDescent="0.3">
      <c r="U514" s="3"/>
    </row>
    <row r="515" spans="21:21" ht="20.100000000000001" customHeight="1" x14ac:dyDescent="0.3">
      <c r="U515" s="3"/>
    </row>
    <row r="516" spans="21:21" ht="20.100000000000001" customHeight="1" x14ac:dyDescent="0.3">
      <c r="U516" s="3"/>
    </row>
    <row r="517" spans="21:21" ht="20.100000000000001" customHeight="1" x14ac:dyDescent="0.3">
      <c r="U517" s="3"/>
    </row>
    <row r="518" spans="21:21" ht="20.100000000000001" customHeight="1" x14ac:dyDescent="0.3">
      <c r="U518" s="3"/>
    </row>
    <row r="519" spans="21:21" ht="20.100000000000001" customHeight="1" x14ac:dyDescent="0.3">
      <c r="U519" s="3"/>
    </row>
    <row r="520" spans="21:21" ht="20.100000000000001" customHeight="1" x14ac:dyDescent="0.3">
      <c r="U520" s="3"/>
    </row>
    <row r="521" spans="21:21" ht="20.100000000000001" customHeight="1" x14ac:dyDescent="0.3">
      <c r="U521" s="3"/>
    </row>
    <row r="522" spans="21:21" ht="20.100000000000001" customHeight="1" x14ac:dyDescent="0.3">
      <c r="U522" s="3"/>
    </row>
    <row r="523" spans="21:21" ht="20.100000000000001" customHeight="1" x14ac:dyDescent="0.3">
      <c r="U523" s="3"/>
    </row>
    <row r="524" spans="21:21" ht="20.100000000000001" customHeight="1" x14ac:dyDescent="0.3">
      <c r="U524" s="3"/>
    </row>
    <row r="525" spans="21:21" ht="20.100000000000001" customHeight="1" x14ac:dyDescent="0.3">
      <c r="U525" s="3"/>
    </row>
    <row r="526" spans="21:21" ht="20.100000000000001" customHeight="1" x14ac:dyDescent="0.3">
      <c r="U526" s="3"/>
    </row>
    <row r="527" spans="21:21" ht="20.100000000000001" customHeight="1" x14ac:dyDescent="0.3">
      <c r="U527" s="3"/>
    </row>
    <row r="528" spans="21:21" ht="20.100000000000001" customHeight="1" x14ac:dyDescent="0.3">
      <c r="U528" s="3"/>
    </row>
    <row r="529" spans="21:21" ht="20.100000000000001" customHeight="1" x14ac:dyDescent="0.3">
      <c r="U529" s="3"/>
    </row>
    <row r="530" spans="21:21" ht="20.100000000000001" customHeight="1" x14ac:dyDescent="0.3">
      <c r="U530" s="3"/>
    </row>
    <row r="531" spans="21:21" ht="20.100000000000001" customHeight="1" x14ac:dyDescent="0.3">
      <c r="U531" s="3"/>
    </row>
    <row r="532" spans="21:21" ht="20.100000000000001" customHeight="1" x14ac:dyDescent="0.3">
      <c r="U532" s="3"/>
    </row>
    <row r="533" spans="21:21" ht="20.100000000000001" customHeight="1" x14ac:dyDescent="0.3">
      <c r="U533" s="3"/>
    </row>
    <row r="534" spans="21:21" ht="20.100000000000001" customHeight="1" x14ac:dyDescent="0.3">
      <c r="U534" s="3"/>
    </row>
    <row r="535" spans="21:21" ht="20.100000000000001" customHeight="1" x14ac:dyDescent="0.3">
      <c r="U535" s="3"/>
    </row>
    <row r="536" spans="21:21" ht="20.100000000000001" customHeight="1" x14ac:dyDescent="0.3">
      <c r="U536" s="3"/>
    </row>
    <row r="537" spans="21:21" ht="20.100000000000001" customHeight="1" x14ac:dyDescent="0.3">
      <c r="U537" s="3"/>
    </row>
    <row r="538" spans="21:21" ht="20.100000000000001" customHeight="1" x14ac:dyDescent="0.3">
      <c r="U538" s="3"/>
    </row>
    <row r="539" spans="21:21" ht="20.100000000000001" customHeight="1" x14ac:dyDescent="0.3">
      <c r="U539" s="3"/>
    </row>
    <row r="540" spans="21:21" ht="20.100000000000001" customHeight="1" x14ac:dyDescent="0.3">
      <c r="U540" s="3"/>
    </row>
    <row r="541" spans="21:21" ht="20.100000000000001" customHeight="1" x14ac:dyDescent="0.3">
      <c r="U541" s="3"/>
    </row>
    <row r="542" spans="21:21" ht="20.100000000000001" customHeight="1" x14ac:dyDescent="0.3">
      <c r="U542" s="3"/>
    </row>
    <row r="543" spans="21:21" ht="20.100000000000001" customHeight="1" x14ac:dyDescent="0.3">
      <c r="U543" s="3"/>
    </row>
    <row r="544" spans="21:21" ht="20.100000000000001" customHeight="1" x14ac:dyDescent="0.3">
      <c r="U544" s="3"/>
    </row>
    <row r="545" spans="21:21" ht="20.100000000000001" customHeight="1" x14ac:dyDescent="0.3">
      <c r="U545" s="3"/>
    </row>
    <row r="546" spans="21:21" ht="20.100000000000001" customHeight="1" x14ac:dyDescent="0.3">
      <c r="U546" s="3"/>
    </row>
    <row r="547" spans="21:21" ht="20.100000000000001" customHeight="1" x14ac:dyDescent="0.3">
      <c r="U547" s="3"/>
    </row>
    <row r="548" spans="21:21" ht="20.100000000000001" customHeight="1" x14ac:dyDescent="0.3">
      <c r="U548" s="3"/>
    </row>
    <row r="549" spans="21:21" ht="20.100000000000001" customHeight="1" x14ac:dyDescent="0.3">
      <c r="U549" s="3"/>
    </row>
    <row r="550" spans="21:21" ht="20.100000000000001" customHeight="1" x14ac:dyDescent="0.3">
      <c r="U550" s="3"/>
    </row>
    <row r="551" spans="21:21" ht="20.100000000000001" customHeight="1" x14ac:dyDescent="0.3">
      <c r="U551" s="3"/>
    </row>
    <row r="552" spans="21:21" ht="20.100000000000001" customHeight="1" x14ac:dyDescent="0.3">
      <c r="U552" s="3"/>
    </row>
    <row r="553" spans="21:21" ht="20.100000000000001" customHeight="1" x14ac:dyDescent="0.3">
      <c r="U553" s="3"/>
    </row>
    <row r="554" spans="21:21" ht="20.100000000000001" customHeight="1" x14ac:dyDescent="0.3">
      <c r="U554" s="3"/>
    </row>
    <row r="555" spans="21:21" ht="20.100000000000001" customHeight="1" x14ac:dyDescent="0.3">
      <c r="U555" s="3"/>
    </row>
    <row r="556" spans="21:21" ht="20.100000000000001" customHeight="1" x14ac:dyDescent="0.3">
      <c r="U556" s="3"/>
    </row>
    <row r="557" spans="21:21" ht="20.100000000000001" customHeight="1" x14ac:dyDescent="0.3">
      <c r="U557" s="3"/>
    </row>
    <row r="558" spans="21:21" ht="20.100000000000001" customHeight="1" x14ac:dyDescent="0.3">
      <c r="U558" s="3"/>
    </row>
    <row r="559" spans="21:21" ht="20.100000000000001" customHeight="1" x14ac:dyDescent="0.3">
      <c r="U559" s="3"/>
    </row>
    <row r="560" spans="21:21" ht="20.100000000000001" customHeight="1" x14ac:dyDescent="0.3">
      <c r="U560" s="3"/>
    </row>
    <row r="561" spans="21:21" ht="20.100000000000001" customHeight="1" x14ac:dyDescent="0.3">
      <c r="U561" s="3"/>
    </row>
    <row r="562" spans="21:21" ht="20.100000000000001" customHeight="1" x14ac:dyDescent="0.3">
      <c r="U562" s="3"/>
    </row>
    <row r="563" spans="21:21" ht="20.100000000000001" customHeight="1" x14ac:dyDescent="0.3">
      <c r="U563" s="3"/>
    </row>
    <row r="564" spans="21:21" ht="20.100000000000001" customHeight="1" x14ac:dyDescent="0.3">
      <c r="U564" s="3"/>
    </row>
    <row r="565" spans="21:21" ht="20.100000000000001" customHeight="1" x14ac:dyDescent="0.3">
      <c r="U565" s="3"/>
    </row>
    <row r="566" spans="21:21" ht="20.100000000000001" customHeight="1" x14ac:dyDescent="0.3">
      <c r="U566" s="3"/>
    </row>
    <row r="567" spans="21:21" ht="20.100000000000001" customHeight="1" x14ac:dyDescent="0.3">
      <c r="U567" s="3"/>
    </row>
    <row r="568" spans="21:21" ht="20.100000000000001" customHeight="1" x14ac:dyDescent="0.3">
      <c r="U568" s="3"/>
    </row>
    <row r="569" spans="21:21" ht="20.100000000000001" customHeight="1" x14ac:dyDescent="0.3">
      <c r="U569" s="3"/>
    </row>
    <row r="570" spans="21:21" ht="20.100000000000001" customHeight="1" x14ac:dyDescent="0.3">
      <c r="U570" s="3"/>
    </row>
    <row r="571" spans="21:21" ht="20.100000000000001" customHeight="1" x14ac:dyDescent="0.3">
      <c r="U571" s="3"/>
    </row>
    <row r="572" spans="21:21" ht="20.100000000000001" customHeight="1" x14ac:dyDescent="0.3">
      <c r="U572" s="3"/>
    </row>
    <row r="573" spans="21:21" ht="20.100000000000001" customHeight="1" x14ac:dyDescent="0.3">
      <c r="U573" s="3"/>
    </row>
    <row r="574" spans="21:21" ht="20.100000000000001" customHeight="1" x14ac:dyDescent="0.3">
      <c r="U574" s="3"/>
    </row>
    <row r="575" spans="21:21" ht="20.100000000000001" customHeight="1" x14ac:dyDescent="0.3">
      <c r="U575" s="3"/>
    </row>
    <row r="576" spans="21:21" ht="20.100000000000001" customHeight="1" x14ac:dyDescent="0.3">
      <c r="U576" s="3"/>
    </row>
    <row r="577" spans="21:21" ht="20.100000000000001" customHeight="1" x14ac:dyDescent="0.3">
      <c r="U577" s="3"/>
    </row>
    <row r="578" spans="21:21" ht="20.100000000000001" customHeight="1" x14ac:dyDescent="0.3">
      <c r="U578" s="3"/>
    </row>
    <row r="579" spans="21:21" ht="20.100000000000001" customHeight="1" x14ac:dyDescent="0.3">
      <c r="U579" s="3"/>
    </row>
    <row r="580" spans="21:21" ht="20.100000000000001" customHeight="1" x14ac:dyDescent="0.3">
      <c r="U580" s="3"/>
    </row>
    <row r="581" spans="21:21" ht="20.100000000000001" customHeight="1" x14ac:dyDescent="0.3">
      <c r="U581" s="3"/>
    </row>
    <row r="582" spans="21:21" ht="20.100000000000001" customHeight="1" x14ac:dyDescent="0.3">
      <c r="U582" s="3"/>
    </row>
    <row r="583" spans="21:21" ht="20.100000000000001" customHeight="1" x14ac:dyDescent="0.3">
      <c r="U583" s="3"/>
    </row>
    <row r="584" spans="21:21" ht="20.100000000000001" customHeight="1" x14ac:dyDescent="0.3">
      <c r="U584" s="3"/>
    </row>
    <row r="585" spans="21:21" ht="20.100000000000001" customHeight="1" x14ac:dyDescent="0.3">
      <c r="U585" s="3"/>
    </row>
    <row r="586" spans="21:21" ht="20.100000000000001" customHeight="1" x14ac:dyDescent="0.3">
      <c r="U586" s="3"/>
    </row>
    <row r="587" spans="21:21" ht="20.100000000000001" customHeight="1" x14ac:dyDescent="0.3">
      <c r="U587" s="3"/>
    </row>
    <row r="588" spans="21:21" ht="20.100000000000001" customHeight="1" x14ac:dyDescent="0.3">
      <c r="U588" s="3"/>
    </row>
    <row r="589" spans="21:21" ht="20.100000000000001" customHeight="1" x14ac:dyDescent="0.3">
      <c r="U589" s="3"/>
    </row>
    <row r="590" spans="21:21" ht="20.100000000000001" customHeight="1" x14ac:dyDescent="0.3">
      <c r="U590" s="3"/>
    </row>
    <row r="591" spans="21:21" ht="20.100000000000001" customHeight="1" x14ac:dyDescent="0.3">
      <c r="U591" s="3"/>
    </row>
    <row r="592" spans="21:21" ht="20.100000000000001" customHeight="1" x14ac:dyDescent="0.3">
      <c r="U592" s="3"/>
    </row>
    <row r="593" spans="21:21" ht="20.100000000000001" customHeight="1" x14ac:dyDescent="0.3">
      <c r="U593" s="3"/>
    </row>
    <row r="594" spans="21:21" ht="20.100000000000001" customHeight="1" x14ac:dyDescent="0.3">
      <c r="U594" s="3"/>
    </row>
    <row r="595" spans="21:21" ht="20.100000000000001" customHeight="1" x14ac:dyDescent="0.3">
      <c r="U595" s="3"/>
    </row>
    <row r="596" spans="21:21" ht="20.100000000000001" customHeight="1" x14ac:dyDescent="0.3">
      <c r="U596" s="3"/>
    </row>
    <row r="597" spans="21:21" ht="20.100000000000001" customHeight="1" x14ac:dyDescent="0.3">
      <c r="U597" s="3"/>
    </row>
    <row r="598" spans="21:21" ht="20.100000000000001" customHeight="1" x14ac:dyDescent="0.3">
      <c r="U598" s="3"/>
    </row>
    <row r="599" spans="21:21" ht="20.100000000000001" customHeight="1" x14ac:dyDescent="0.3">
      <c r="U599" s="3"/>
    </row>
    <row r="600" spans="21:21" ht="20.100000000000001" customHeight="1" x14ac:dyDescent="0.3">
      <c r="U600" s="3"/>
    </row>
    <row r="601" spans="21:21" ht="20.100000000000001" customHeight="1" x14ac:dyDescent="0.3">
      <c r="U601" s="3"/>
    </row>
    <row r="602" spans="21:21" ht="20.100000000000001" customHeight="1" x14ac:dyDescent="0.3">
      <c r="U602" s="3"/>
    </row>
    <row r="603" spans="21:21" ht="20.100000000000001" customHeight="1" x14ac:dyDescent="0.3">
      <c r="U603" s="3"/>
    </row>
    <row r="604" spans="21:21" ht="20.100000000000001" customHeight="1" x14ac:dyDescent="0.3">
      <c r="U604" s="3"/>
    </row>
    <row r="605" spans="21:21" ht="20.100000000000001" customHeight="1" x14ac:dyDescent="0.3">
      <c r="U605" s="3"/>
    </row>
    <row r="606" spans="21:21" ht="20.100000000000001" customHeight="1" x14ac:dyDescent="0.3">
      <c r="U606" s="3"/>
    </row>
    <row r="607" spans="21:21" ht="20.100000000000001" customHeight="1" x14ac:dyDescent="0.3">
      <c r="U607" s="3"/>
    </row>
    <row r="608" spans="21:21" ht="20.100000000000001" customHeight="1" x14ac:dyDescent="0.3">
      <c r="U608" s="3"/>
    </row>
    <row r="609" spans="21:21" ht="20.100000000000001" customHeight="1" x14ac:dyDescent="0.3">
      <c r="U609" s="3"/>
    </row>
    <row r="610" spans="21:21" ht="20.100000000000001" customHeight="1" x14ac:dyDescent="0.3">
      <c r="U610" s="3"/>
    </row>
    <row r="611" spans="21:21" ht="20.100000000000001" customHeight="1" x14ac:dyDescent="0.3">
      <c r="U611" s="3"/>
    </row>
    <row r="612" spans="21:21" ht="20.100000000000001" customHeight="1" x14ac:dyDescent="0.3">
      <c r="U612" s="3"/>
    </row>
    <row r="613" spans="21:21" ht="20.100000000000001" customHeight="1" x14ac:dyDescent="0.3">
      <c r="U613" s="3"/>
    </row>
    <row r="614" spans="21:21" ht="20.100000000000001" customHeight="1" x14ac:dyDescent="0.3">
      <c r="U614" s="3"/>
    </row>
    <row r="615" spans="21:21" ht="20.100000000000001" customHeight="1" x14ac:dyDescent="0.3">
      <c r="U615" s="3"/>
    </row>
    <row r="616" spans="21:21" ht="20.100000000000001" customHeight="1" x14ac:dyDescent="0.3">
      <c r="U616" s="3"/>
    </row>
    <row r="617" spans="21:21" ht="20.100000000000001" customHeight="1" x14ac:dyDescent="0.3">
      <c r="U617" s="3"/>
    </row>
    <row r="618" spans="21:21" ht="20.100000000000001" customHeight="1" x14ac:dyDescent="0.3">
      <c r="U618" s="3"/>
    </row>
    <row r="619" spans="21:21" ht="20.100000000000001" customHeight="1" x14ac:dyDescent="0.3">
      <c r="U619" s="3"/>
    </row>
    <row r="620" spans="21:21" ht="20.100000000000001" customHeight="1" x14ac:dyDescent="0.3">
      <c r="U620" s="3"/>
    </row>
    <row r="621" spans="21:21" ht="20.100000000000001" customHeight="1" x14ac:dyDescent="0.3">
      <c r="U621" s="3"/>
    </row>
    <row r="622" spans="21:21" ht="20.100000000000001" customHeight="1" x14ac:dyDescent="0.3">
      <c r="U622" s="3"/>
    </row>
    <row r="623" spans="21:21" ht="20.100000000000001" customHeight="1" x14ac:dyDescent="0.3">
      <c r="U623" s="3"/>
    </row>
    <row r="624" spans="21:21" ht="20.100000000000001" customHeight="1" x14ac:dyDescent="0.3">
      <c r="U624" s="3"/>
    </row>
    <row r="625" spans="21:21" ht="20.100000000000001" customHeight="1" x14ac:dyDescent="0.3">
      <c r="U625" s="3"/>
    </row>
    <row r="626" spans="21:21" ht="20.100000000000001" customHeight="1" x14ac:dyDescent="0.3">
      <c r="U626" s="3"/>
    </row>
    <row r="627" spans="21:21" ht="20.100000000000001" customHeight="1" x14ac:dyDescent="0.3">
      <c r="U627" s="3"/>
    </row>
    <row r="628" spans="21:21" ht="20.100000000000001" customHeight="1" x14ac:dyDescent="0.3">
      <c r="U628" s="3"/>
    </row>
    <row r="629" spans="21:21" ht="20.100000000000001" customHeight="1" x14ac:dyDescent="0.3">
      <c r="U629" s="3"/>
    </row>
    <row r="630" spans="21:21" ht="20.100000000000001" customHeight="1" x14ac:dyDescent="0.3">
      <c r="U630" s="3"/>
    </row>
    <row r="631" spans="21:21" ht="20.100000000000001" customHeight="1" x14ac:dyDescent="0.3">
      <c r="U631" s="3"/>
    </row>
    <row r="632" spans="21:21" ht="20.100000000000001" customHeight="1" x14ac:dyDescent="0.3">
      <c r="U632" s="3"/>
    </row>
    <row r="633" spans="21:21" ht="20.100000000000001" customHeight="1" x14ac:dyDescent="0.3">
      <c r="U633" s="3"/>
    </row>
    <row r="634" spans="21:21" ht="20.100000000000001" customHeight="1" x14ac:dyDescent="0.3">
      <c r="U634" s="3"/>
    </row>
    <row r="635" spans="21:21" ht="20.100000000000001" customHeight="1" x14ac:dyDescent="0.3">
      <c r="U635" s="3"/>
    </row>
    <row r="636" spans="21:21" ht="20.100000000000001" customHeight="1" x14ac:dyDescent="0.3">
      <c r="U636" s="3"/>
    </row>
    <row r="637" spans="21:21" ht="20.100000000000001" customHeight="1" x14ac:dyDescent="0.3">
      <c r="U637" s="3"/>
    </row>
    <row r="638" spans="21:21" ht="20.100000000000001" customHeight="1" x14ac:dyDescent="0.3">
      <c r="U638" s="3"/>
    </row>
    <row r="639" spans="21:21" ht="20.100000000000001" customHeight="1" x14ac:dyDescent="0.3">
      <c r="U639" s="3"/>
    </row>
    <row r="640" spans="21:21" ht="20.100000000000001" customHeight="1" x14ac:dyDescent="0.3">
      <c r="U640" s="3"/>
    </row>
    <row r="641" spans="21:21" ht="20.100000000000001" customHeight="1" x14ac:dyDescent="0.3">
      <c r="U641" s="3"/>
    </row>
    <row r="642" spans="21:21" ht="20.100000000000001" customHeight="1" x14ac:dyDescent="0.3">
      <c r="U642" s="3"/>
    </row>
    <row r="643" spans="21:21" ht="20.100000000000001" customHeight="1" x14ac:dyDescent="0.3">
      <c r="U643" s="3"/>
    </row>
    <row r="644" spans="21:21" ht="20.100000000000001" customHeight="1" x14ac:dyDescent="0.3">
      <c r="U644" s="3"/>
    </row>
    <row r="645" spans="21:21" ht="20.100000000000001" customHeight="1" x14ac:dyDescent="0.3">
      <c r="U645" s="3"/>
    </row>
    <row r="646" spans="21:21" ht="20.100000000000001" customHeight="1" x14ac:dyDescent="0.3">
      <c r="U646" s="3"/>
    </row>
    <row r="647" spans="21:21" ht="20.100000000000001" customHeight="1" x14ac:dyDescent="0.3">
      <c r="U647" s="3"/>
    </row>
    <row r="648" spans="21:21" ht="20.100000000000001" customHeight="1" x14ac:dyDescent="0.3">
      <c r="U648" s="3"/>
    </row>
    <row r="649" spans="21:21" ht="20.100000000000001" customHeight="1" x14ac:dyDescent="0.3">
      <c r="U649" s="3"/>
    </row>
    <row r="650" spans="21:21" ht="20.100000000000001" customHeight="1" x14ac:dyDescent="0.3">
      <c r="U650" s="3"/>
    </row>
    <row r="651" spans="21:21" ht="20.100000000000001" customHeight="1" x14ac:dyDescent="0.3">
      <c r="U651" s="3"/>
    </row>
    <row r="652" spans="21:21" ht="20.100000000000001" customHeight="1" x14ac:dyDescent="0.3">
      <c r="U652" s="3"/>
    </row>
    <row r="653" spans="21:21" ht="20.100000000000001" customHeight="1" x14ac:dyDescent="0.3">
      <c r="U653" s="3"/>
    </row>
    <row r="654" spans="21:21" ht="20.100000000000001" customHeight="1" x14ac:dyDescent="0.3">
      <c r="U654" s="3"/>
    </row>
    <row r="655" spans="21:21" ht="20.100000000000001" customHeight="1" x14ac:dyDescent="0.3">
      <c r="U655" s="3"/>
    </row>
    <row r="656" spans="21:21" ht="20.100000000000001" customHeight="1" x14ac:dyDescent="0.3">
      <c r="U656" s="3"/>
    </row>
    <row r="657" spans="21:21" ht="20.100000000000001" customHeight="1" x14ac:dyDescent="0.3">
      <c r="U657" s="3"/>
    </row>
    <row r="658" spans="21:21" ht="20.100000000000001" customHeight="1" x14ac:dyDescent="0.3">
      <c r="U658" s="3"/>
    </row>
    <row r="659" spans="21:21" ht="20.100000000000001" customHeight="1" x14ac:dyDescent="0.3">
      <c r="U659" s="3"/>
    </row>
    <row r="660" spans="21:21" ht="20.100000000000001" customHeight="1" x14ac:dyDescent="0.3">
      <c r="U660" s="3"/>
    </row>
    <row r="661" spans="21:21" ht="20.100000000000001" customHeight="1" x14ac:dyDescent="0.3">
      <c r="U661" s="3"/>
    </row>
    <row r="662" spans="21:21" ht="20.100000000000001" customHeight="1" x14ac:dyDescent="0.3">
      <c r="U662" s="3"/>
    </row>
    <row r="663" spans="21:21" ht="20.100000000000001" customHeight="1" x14ac:dyDescent="0.3">
      <c r="U663" s="3"/>
    </row>
    <row r="664" spans="21:21" ht="20.100000000000001" customHeight="1" x14ac:dyDescent="0.3">
      <c r="U664" s="3"/>
    </row>
    <row r="665" spans="21:21" ht="20.100000000000001" customHeight="1" x14ac:dyDescent="0.3">
      <c r="U665" s="3"/>
    </row>
    <row r="666" spans="21:21" ht="20.100000000000001" customHeight="1" x14ac:dyDescent="0.3">
      <c r="U666" s="3"/>
    </row>
    <row r="667" spans="21:21" ht="20.100000000000001" customHeight="1" x14ac:dyDescent="0.3">
      <c r="U667" s="3"/>
    </row>
    <row r="668" spans="21:21" ht="20.100000000000001" customHeight="1" x14ac:dyDescent="0.3">
      <c r="U668" s="3"/>
    </row>
    <row r="669" spans="21:21" ht="20.100000000000001" customHeight="1" x14ac:dyDescent="0.3">
      <c r="U669" s="3"/>
    </row>
    <row r="670" spans="21:21" ht="20.100000000000001" customHeight="1" x14ac:dyDescent="0.3">
      <c r="U670" s="3"/>
    </row>
    <row r="671" spans="21:21" ht="20.100000000000001" customHeight="1" x14ac:dyDescent="0.3">
      <c r="U671" s="3"/>
    </row>
    <row r="672" spans="21:21" ht="20.100000000000001" customHeight="1" x14ac:dyDescent="0.3">
      <c r="U672" s="3"/>
    </row>
    <row r="673" spans="21:21" ht="20.100000000000001" customHeight="1" x14ac:dyDescent="0.3">
      <c r="U673" s="3"/>
    </row>
    <row r="674" spans="21:21" ht="20.100000000000001" customHeight="1" x14ac:dyDescent="0.3">
      <c r="U674" s="3"/>
    </row>
    <row r="675" spans="21:21" ht="20.100000000000001" customHeight="1" x14ac:dyDescent="0.3">
      <c r="U675" s="3"/>
    </row>
    <row r="676" spans="21:21" ht="20.100000000000001" customHeight="1" x14ac:dyDescent="0.3">
      <c r="U676" s="3"/>
    </row>
    <row r="677" spans="21:21" ht="20.100000000000001" customHeight="1" x14ac:dyDescent="0.3">
      <c r="U677" s="3"/>
    </row>
    <row r="678" spans="21:21" ht="20.100000000000001" customHeight="1" x14ac:dyDescent="0.3">
      <c r="U678" s="3"/>
    </row>
    <row r="679" spans="21:21" ht="20.100000000000001" customHeight="1" x14ac:dyDescent="0.3">
      <c r="U679" s="3"/>
    </row>
    <row r="680" spans="21:21" ht="20.100000000000001" customHeight="1" x14ac:dyDescent="0.3">
      <c r="U680" s="3"/>
    </row>
    <row r="681" spans="21:21" ht="20.100000000000001" customHeight="1" x14ac:dyDescent="0.3">
      <c r="U681" s="3"/>
    </row>
    <row r="682" spans="21:21" ht="20.100000000000001" customHeight="1" x14ac:dyDescent="0.3">
      <c r="U682" s="3"/>
    </row>
    <row r="683" spans="21:21" ht="20.100000000000001" customHeight="1" x14ac:dyDescent="0.3">
      <c r="U683" s="3"/>
    </row>
    <row r="684" spans="21:21" ht="20.100000000000001" customHeight="1" x14ac:dyDescent="0.3">
      <c r="U684" s="3"/>
    </row>
    <row r="685" spans="21:21" ht="20.100000000000001" customHeight="1" x14ac:dyDescent="0.3">
      <c r="U685" s="3"/>
    </row>
    <row r="686" spans="21:21" ht="20.100000000000001" customHeight="1" x14ac:dyDescent="0.3">
      <c r="U686" s="3"/>
    </row>
    <row r="687" spans="21:21" ht="20.100000000000001" customHeight="1" x14ac:dyDescent="0.3">
      <c r="U687" s="3"/>
    </row>
    <row r="688" spans="21:21" ht="20.100000000000001" customHeight="1" x14ac:dyDescent="0.3">
      <c r="U688" s="3"/>
    </row>
    <row r="689" spans="21:21" ht="20.100000000000001" customHeight="1" x14ac:dyDescent="0.3">
      <c r="U689" s="3"/>
    </row>
    <row r="690" spans="21:21" ht="20.100000000000001" customHeight="1" x14ac:dyDescent="0.3">
      <c r="U690" s="3"/>
    </row>
    <row r="691" spans="21:21" ht="20.100000000000001" customHeight="1" x14ac:dyDescent="0.3">
      <c r="U691" s="3"/>
    </row>
    <row r="692" spans="21:21" ht="20.100000000000001" customHeight="1" x14ac:dyDescent="0.3">
      <c r="U692" s="3"/>
    </row>
    <row r="693" spans="21:21" ht="20.100000000000001" customHeight="1" x14ac:dyDescent="0.3">
      <c r="U693" s="3"/>
    </row>
    <row r="694" spans="21:21" ht="20.100000000000001" customHeight="1" x14ac:dyDescent="0.3">
      <c r="U694" s="3"/>
    </row>
    <row r="695" spans="21:21" ht="20.100000000000001" customHeight="1" x14ac:dyDescent="0.3">
      <c r="U695" s="3"/>
    </row>
    <row r="696" spans="21:21" ht="20.100000000000001" customHeight="1" x14ac:dyDescent="0.3">
      <c r="U696" s="3"/>
    </row>
    <row r="697" spans="21:21" ht="20.100000000000001" customHeight="1" x14ac:dyDescent="0.3">
      <c r="U697" s="3"/>
    </row>
    <row r="698" spans="21:21" ht="20.100000000000001" customHeight="1" x14ac:dyDescent="0.3">
      <c r="U698" s="3"/>
    </row>
    <row r="699" spans="21:21" ht="20.100000000000001" customHeight="1" x14ac:dyDescent="0.3">
      <c r="U699" s="3"/>
    </row>
    <row r="700" spans="21:21" ht="20.100000000000001" customHeight="1" x14ac:dyDescent="0.3">
      <c r="U700" s="3"/>
    </row>
    <row r="701" spans="21:21" ht="20.100000000000001" customHeight="1" x14ac:dyDescent="0.3">
      <c r="U701" s="3"/>
    </row>
    <row r="702" spans="21:21" ht="20.100000000000001" customHeight="1" x14ac:dyDescent="0.3">
      <c r="U702" s="3"/>
    </row>
    <row r="703" spans="21:21" ht="20.100000000000001" customHeight="1" x14ac:dyDescent="0.3">
      <c r="U703" s="3"/>
    </row>
    <row r="704" spans="21:21" ht="20.100000000000001" customHeight="1" x14ac:dyDescent="0.3">
      <c r="U704" s="3"/>
    </row>
    <row r="705" spans="21:21" ht="20.100000000000001" customHeight="1" x14ac:dyDescent="0.3">
      <c r="U705" s="3"/>
    </row>
    <row r="706" spans="21:21" ht="20.100000000000001" customHeight="1" x14ac:dyDescent="0.3">
      <c r="U706" s="3"/>
    </row>
    <row r="707" spans="21:21" ht="20.100000000000001" customHeight="1" x14ac:dyDescent="0.3">
      <c r="U707" s="3"/>
    </row>
    <row r="708" spans="21:21" ht="20.100000000000001" customHeight="1" x14ac:dyDescent="0.3">
      <c r="U708" s="3"/>
    </row>
    <row r="709" spans="21:21" ht="20.100000000000001" customHeight="1" x14ac:dyDescent="0.3">
      <c r="U709" s="3"/>
    </row>
    <row r="710" spans="21:21" ht="20.100000000000001" customHeight="1" x14ac:dyDescent="0.3">
      <c r="U710" s="3"/>
    </row>
    <row r="711" spans="21:21" ht="20.100000000000001" customHeight="1" x14ac:dyDescent="0.3">
      <c r="U711" s="3"/>
    </row>
    <row r="712" spans="21:21" ht="20.100000000000001" customHeight="1" x14ac:dyDescent="0.3">
      <c r="U712" s="3"/>
    </row>
    <row r="713" spans="21:21" ht="20.100000000000001" customHeight="1" x14ac:dyDescent="0.3">
      <c r="U713" s="3"/>
    </row>
    <row r="714" spans="21:21" ht="20.100000000000001" customHeight="1" x14ac:dyDescent="0.3">
      <c r="U714" s="3"/>
    </row>
    <row r="715" spans="21:21" ht="20.100000000000001" customHeight="1" x14ac:dyDescent="0.3">
      <c r="U715" s="3"/>
    </row>
    <row r="716" spans="21:21" ht="20.100000000000001" customHeight="1" x14ac:dyDescent="0.3">
      <c r="U716" s="3"/>
    </row>
    <row r="717" spans="21:21" ht="20.100000000000001" customHeight="1" x14ac:dyDescent="0.3">
      <c r="U717" s="3"/>
    </row>
    <row r="718" spans="21:21" ht="20.100000000000001" customHeight="1" x14ac:dyDescent="0.3">
      <c r="U718" s="3"/>
    </row>
    <row r="719" spans="21:21" ht="20.100000000000001" customHeight="1" x14ac:dyDescent="0.3">
      <c r="U719" s="3"/>
    </row>
    <row r="720" spans="21:21" ht="20.100000000000001" customHeight="1" x14ac:dyDescent="0.3">
      <c r="U720" s="3"/>
    </row>
    <row r="721" spans="21:21" ht="20.100000000000001" customHeight="1" x14ac:dyDescent="0.3">
      <c r="U721" s="3"/>
    </row>
    <row r="722" spans="21:21" ht="20.100000000000001" customHeight="1" x14ac:dyDescent="0.3">
      <c r="U722" s="3"/>
    </row>
    <row r="723" spans="21:21" ht="20.100000000000001" customHeight="1" x14ac:dyDescent="0.3">
      <c r="U723" s="3"/>
    </row>
    <row r="724" spans="21:21" ht="20.100000000000001" customHeight="1" x14ac:dyDescent="0.3">
      <c r="U724" s="3"/>
    </row>
    <row r="725" spans="21:21" ht="20.100000000000001" customHeight="1" x14ac:dyDescent="0.3">
      <c r="U725" s="3"/>
    </row>
    <row r="726" spans="21:21" ht="20.100000000000001" customHeight="1" x14ac:dyDescent="0.3">
      <c r="U726" s="3"/>
    </row>
    <row r="727" spans="21:21" ht="20.100000000000001" customHeight="1" x14ac:dyDescent="0.3">
      <c r="U727" s="3"/>
    </row>
    <row r="728" spans="21:21" ht="20.100000000000001" customHeight="1" x14ac:dyDescent="0.3">
      <c r="U728" s="3"/>
    </row>
    <row r="729" spans="21:21" ht="20.100000000000001" customHeight="1" x14ac:dyDescent="0.3">
      <c r="U729" s="3"/>
    </row>
    <row r="730" spans="21:21" ht="20.100000000000001" customHeight="1" x14ac:dyDescent="0.3">
      <c r="U730" s="3"/>
    </row>
    <row r="731" spans="21:21" ht="20.100000000000001" customHeight="1" x14ac:dyDescent="0.3">
      <c r="U731" s="3"/>
    </row>
    <row r="732" spans="21:21" ht="20.100000000000001" customHeight="1" x14ac:dyDescent="0.3">
      <c r="U732" s="3"/>
    </row>
    <row r="733" spans="21:21" ht="20.100000000000001" customHeight="1" x14ac:dyDescent="0.3">
      <c r="U733" s="3"/>
    </row>
    <row r="734" spans="21:21" ht="20.100000000000001" customHeight="1" x14ac:dyDescent="0.3">
      <c r="U734" s="3"/>
    </row>
    <row r="735" spans="21:21" ht="20.100000000000001" customHeight="1" x14ac:dyDescent="0.3">
      <c r="U735" s="3"/>
    </row>
    <row r="736" spans="21:21" ht="20.100000000000001" customHeight="1" x14ac:dyDescent="0.3">
      <c r="U736" s="3"/>
    </row>
    <row r="737" spans="21:21" ht="20.100000000000001" customHeight="1" x14ac:dyDescent="0.3">
      <c r="U737" s="3"/>
    </row>
    <row r="738" spans="21:21" ht="20.100000000000001" customHeight="1" x14ac:dyDescent="0.3">
      <c r="U738" s="3"/>
    </row>
    <row r="739" spans="21:21" ht="20.100000000000001" customHeight="1" x14ac:dyDescent="0.3">
      <c r="U739" s="3"/>
    </row>
    <row r="740" spans="21:21" ht="20.100000000000001" customHeight="1" x14ac:dyDescent="0.3">
      <c r="U740" s="3"/>
    </row>
    <row r="741" spans="21:21" ht="20.100000000000001" customHeight="1" x14ac:dyDescent="0.3">
      <c r="U741" s="3"/>
    </row>
    <row r="742" spans="21:21" ht="20.100000000000001" customHeight="1" x14ac:dyDescent="0.3">
      <c r="U742" s="3"/>
    </row>
    <row r="743" spans="21:21" ht="20.100000000000001" customHeight="1" x14ac:dyDescent="0.3">
      <c r="U743" s="3"/>
    </row>
    <row r="744" spans="21:21" ht="20.100000000000001" customHeight="1" x14ac:dyDescent="0.3">
      <c r="U744" s="3"/>
    </row>
    <row r="745" spans="21:21" ht="20.100000000000001" customHeight="1" x14ac:dyDescent="0.3">
      <c r="U745" s="3"/>
    </row>
    <row r="746" spans="21:21" ht="20.100000000000001" customHeight="1" x14ac:dyDescent="0.3">
      <c r="U746" s="3"/>
    </row>
    <row r="747" spans="21:21" ht="20.100000000000001" customHeight="1" x14ac:dyDescent="0.3">
      <c r="U747" s="3"/>
    </row>
    <row r="748" spans="21:21" ht="20.100000000000001" customHeight="1" x14ac:dyDescent="0.3">
      <c r="U748" s="3"/>
    </row>
    <row r="749" spans="21:21" ht="20.100000000000001" customHeight="1" x14ac:dyDescent="0.3">
      <c r="U749" s="3"/>
    </row>
    <row r="750" spans="21:21" ht="20.100000000000001" customHeight="1" x14ac:dyDescent="0.3">
      <c r="U750" s="3"/>
    </row>
    <row r="751" spans="21:21" ht="20.100000000000001" customHeight="1" x14ac:dyDescent="0.3">
      <c r="U751" s="3"/>
    </row>
    <row r="752" spans="21:21" ht="20.100000000000001" customHeight="1" x14ac:dyDescent="0.3">
      <c r="U752" s="3"/>
    </row>
    <row r="753" spans="21:21" ht="20.100000000000001" customHeight="1" x14ac:dyDescent="0.3">
      <c r="U753" s="3"/>
    </row>
    <row r="754" spans="21:21" ht="20.100000000000001" customHeight="1" x14ac:dyDescent="0.3">
      <c r="U754" s="3"/>
    </row>
    <row r="755" spans="21:21" ht="20.100000000000001" customHeight="1" x14ac:dyDescent="0.3">
      <c r="U755" s="3"/>
    </row>
    <row r="756" spans="21:21" ht="20.100000000000001" customHeight="1" x14ac:dyDescent="0.3">
      <c r="U756" s="3"/>
    </row>
    <row r="757" spans="21:21" ht="20.100000000000001" customHeight="1" x14ac:dyDescent="0.3">
      <c r="U757" s="3"/>
    </row>
    <row r="758" spans="21:21" ht="20.100000000000001" customHeight="1" x14ac:dyDescent="0.3">
      <c r="U758" s="3"/>
    </row>
    <row r="759" spans="21:21" ht="20.100000000000001" customHeight="1" x14ac:dyDescent="0.3">
      <c r="U759" s="3"/>
    </row>
    <row r="760" spans="21:21" ht="20.100000000000001" customHeight="1" x14ac:dyDescent="0.3">
      <c r="U760" s="3"/>
    </row>
    <row r="761" spans="21:21" ht="20.100000000000001" customHeight="1" x14ac:dyDescent="0.3">
      <c r="U761" s="3"/>
    </row>
    <row r="762" spans="21:21" ht="20.100000000000001" customHeight="1" x14ac:dyDescent="0.3">
      <c r="U762" s="3"/>
    </row>
    <row r="763" spans="21:21" ht="20.100000000000001" customHeight="1" x14ac:dyDescent="0.3">
      <c r="U763" s="3"/>
    </row>
    <row r="764" spans="21:21" ht="20.100000000000001" customHeight="1" x14ac:dyDescent="0.3">
      <c r="U764" s="3"/>
    </row>
    <row r="765" spans="21:21" ht="20.100000000000001" customHeight="1" x14ac:dyDescent="0.3">
      <c r="U765" s="3"/>
    </row>
    <row r="766" spans="21:21" ht="20.100000000000001" customHeight="1" x14ac:dyDescent="0.3">
      <c r="U766" s="3"/>
    </row>
    <row r="767" spans="21:21" ht="20.100000000000001" customHeight="1" x14ac:dyDescent="0.3">
      <c r="U767" s="3"/>
    </row>
    <row r="768" spans="21:21" ht="20.100000000000001" customHeight="1" x14ac:dyDescent="0.3">
      <c r="U768" s="3"/>
    </row>
    <row r="769" spans="21:21" ht="20.100000000000001" customHeight="1" x14ac:dyDescent="0.3">
      <c r="U769" s="3"/>
    </row>
    <row r="770" spans="21:21" ht="20.100000000000001" customHeight="1" x14ac:dyDescent="0.3">
      <c r="U770" s="3"/>
    </row>
    <row r="771" spans="21:21" ht="20.100000000000001" customHeight="1" x14ac:dyDescent="0.3">
      <c r="U771" s="3"/>
    </row>
    <row r="772" spans="21:21" ht="20.100000000000001" customHeight="1" x14ac:dyDescent="0.3">
      <c r="U772" s="3"/>
    </row>
    <row r="773" spans="21:21" ht="20.100000000000001" customHeight="1" x14ac:dyDescent="0.3">
      <c r="U773" s="3"/>
    </row>
    <row r="774" spans="21:21" ht="20.100000000000001" customHeight="1" x14ac:dyDescent="0.3">
      <c r="U774" s="3"/>
    </row>
    <row r="775" spans="21:21" ht="20.100000000000001" customHeight="1" x14ac:dyDescent="0.3">
      <c r="U775" s="3"/>
    </row>
    <row r="776" spans="21:21" ht="20.100000000000001" customHeight="1" x14ac:dyDescent="0.3">
      <c r="U776" s="3"/>
    </row>
    <row r="777" spans="21:21" ht="20.100000000000001" customHeight="1" x14ac:dyDescent="0.3">
      <c r="U777" s="3"/>
    </row>
    <row r="778" spans="21:21" ht="20.100000000000001" customHeight="1" x14ac:dyDescent="0.3">
      <c r="U778" s="3"/>
    </row>
    <row r="779" spans="21:21" ht="20.100000000000001" customHeight="1" x14ac:dyDescent="0.3">
      <c r="U779" s="3"/>
    </row>
    <row r="780" spans="21:21" ht="20.100000000000001" customHeight="1" x14ac:dyDescent="0.3">
      <c r="U780" s="3"/>
    </row>
    <row r="781" spans="21:21" ht="20.100000000000001" customHeight="1" x14ac:dyDescent="0.3">
      <c r="U781" s="3"/>
    </row>
    <row r="782" spans="21:21" ht="20.100000000000001" customHeight="1" x14ac:dyDescent="0.3">
      <c r="U782" s="3"/>
    </row>
    <row r="783" spans="21:21" ht="20.100000000000001" customHeight="1" x14ac:dyDescent="0.3">
      <c r="U783" s="3"/>
    </row>
    <row r="784" spans="21:21" ht="20.100000000000001" customHeight="1" x14ac:dyDescent="0.3">
      <c r="U784" s="3"/>
    </row>
    <row r="785" spans="21:21" ht="20.100000000000001" customHeight="1" x14ac:dyDescent="0.3">
      <c r="U785" s="3"/>
    </row>
    <row r="786" spans="21:21" ht="20.100000000000001" customHeight="1" x14ac:dyDescent="0.3">
      <c r="U786" s="3"/>
    </row>
    <row r="787" spans="21:21" ht="20.100000000000001" customHeight="1" x14ac:dyDescent="0.3">
      <c r="U787" s="3"/>
    </row>
    <row r="788" spans="21:21" ht="20.100000000000001" customHeight="1" x14ac:dyDescent="0.3">
      <c r="U788" s="3"/>
    </row>
    <row r="789" spans="21:21" ht="20.100000000000001" customHeight="1" x14ac:dyDescent="0.3">
      <c r="U789" s="3"/>
    </row>
    <row r="790" spans="21:21" ht="20.100000000000001" customHeight="1" x14ac:dyDescent="0.3">
      <c r="U790" s="3"/>
    </row>
    <row r="791" spans="21:21" ht="20.100000000000001" customHeight="1" x14ac:dyDescent="0.3">
      <c r="U791" s="3"/>
    </row>
    <row r="792" spans="21:21" ht="20.100000000000001" customHeight="1" x14ac:dyDescent="0.3">
      <c r="U792" s="3"/>
    </row>
    <row r="793" spans="21:21" ht="20.100000000000001" customHeight="1" x14ac:dyDescent="0.3">
      <c r="U793" s="3"/>
    </row>
    <row r="794" spans="21:21" ht="20.100000000000001" customHeight="1" x14ac:dyDescent="0.3">
      <c r="U794" s="3"/>
    </row>
    <row r="795" spans="21:21" ht="20.100000000000001" customHeight="1" x14ac:dyDescent="0.3">
      <c r="U795" s="3"/>
    </row>
    <row r="796" spans="21:21" ht="20.100000000000001" customHeight="1" x14ac:dyDescent="0.3">
      <c r="U796" s="3"/>
    </row>
    <row r="797" spans="21:21" ht="20.100000000000001" customHeight="1" x14ac:dyDescent="0.3">
      <c r="U797" s="3"/>
    </row>
    <row r="798" spans="21:21" ht="20.100000000000001" customHeight="1" x14ac:dyDescent="0.3">
      <c r="U798" s="3"/>
    </row>
    <row r="799" spans="21:21" ht="20.100000000000001" customHeight="1" x14ac:dyDescent="0.3">
      <c r="U799" s="3"/>
    </row>
    <row r="800" spans="21:21" ht="20.100000000000001" customHeight="1" x14ac:dyDescent="0.3">
      <c r="U800" s="3"/>
    </row>
    <row r="801" spans="21:21" ht="20.100000000000001" customHeight="1" x14ac:dyDescent="0.3">
      <c r="U801" s="3"/>
    </row>
    <row r="802" spans="21:21" ht="20.100000000000001" customHeight="1" x14ac:dyDescent="0.3">
      <c r="U802" s="3"/>
    </row>
    <row r="803" spans="21:21" ht="20.100000000000001" customHeight="1" x14ac:dyDescent="0.3">
      <c r="U803" s="3"/>
    </row>
    <row r="804" spans="21:21" ht="20.100000000000001" customHeight="1" x14ac:dyDescent="0.3">
      <c r="U804" s="3"/>
    </row>
    <row r="805" spans="21:21" ht="20.100000000000001" customHeight="1" x14ac:dyDescent="0.3">
      <c r="U805" s="3"/>
    </row>
    <row r="806" spans="21:21" ht="20.100000000000001" customHeight="1" x14ac:dyDescent="0.3">
      <c r="U806" s="3"/>
    </row>
    <row r="807" spans="21:21" ht="20.100000000000001" customHeight="1" x14ac:dyDescent="0.3">
      <c r="U807" s="3"/>
    </row>
    <row r="808" spans="21:21" ht="20.100000000000001" customHeight="1" x14ac:dyDescent="0.3">
      <c r="U808" s="3"/>
    </row>
    <row r="809" spans="21:21" ht="20.100000000000001" customHeight="1" x14ac:dyDescent="0.3">
      <c r="U809" s="3"/>
    </row>
    <row r="810" spans="21:21" ht="20.100000000000001" customHeight="1" x14ac:dyDescent="0.3">
      <c r="U810" s="3"/>
    </row>
    <row r="811" spans="21:21" ht="20.100000000000001" customHeight="1" x14ac:dyDescent="0.3">
      <c r="U811" s="3"/>
    </row>
    <row r="812" spans="21:21" ht="20.100000000000001" customHeight="1" x14ac:dyDescent="0.3">
      <c r="U812" s="3"/>
    </row>
    <row r="813" spans="21:21" ht="20.100000000000001" customHeight="1" x14ac:dyDescent="0.3">
      <c r="U813" s="3"/>
    </row>
    <row r="814" spans="21:21" ht="20.100000000000001" customHeight="1" x14ac:dyDescent="0.3">
      <c r="U814" s="3"/>
    </row>
    <row r="815" spans="21:21" ht="20.100000000000001" customHeight="1" x14ac:dyDescent="0.3">
      <c r="U815" s="3"/>
    </row>
    <row r="816" spans="21:21" ht="20.100000000000001" customHeight="1" x14ac:dyDescent="0.3">
      <c r="U816" s="3"/>
    </row>
    <row r="817" spans="21:21" ht="20.100000000000001" customHeight="1" x14ac:dyDescent="0.3">
      <c r="U817" s="3"/>
    </row>
    <row r="818" spans="21:21" ht="20.100000000000001" customHeight="1" x14ac:dyDescent="0.3">
      <c r="U818" s="3"/>
    </row>
    <row r="819" spans="21:21" ht="20.100000000000001" customHeight="1" x14ac:dyDescent="0.3">
      <c r="U819" s="3"/>
    </row>
    <row r="820" spans="21:21" ht="20.100000000000001" customHeight="1" x14ac:dyDescent="0.3">
      <c r="U820" s="3"/>
    </row>
    <row r="821" spans="21:21" ht="20.100000000000001" customHeight="1" x14ac:dyDescent="0.3">
      <c r="U821" s="3"/>
    </row>
    <row r="822" spans="21:21" ht="20.100000000000001" customHeight="1" x14ac:dyDescent="0.3">
      <c r="U822" s="3"/>
    </row>
    <row r="823" spans="21:21" ht="20.100000000000001" customHeight="1" x14ac:dyDescent="0.3">
      <c r="U823" s="3"/>
    </row>
    <row r="824" spans="21:21" ht="20.100000000000001" customHeight="1" x14ac:dyDescent="0.3">
      <c r="U824" s="3"/>
    </row>
    <row r="825" spans="21:21" ht="20.100000000000001" customHeight="1" x14ac:dyDescent="0.3">
      <c r="U825" s="3"/>
    </row>
    <row r="826" spans="21:21" ht="20.100000000000001" customHeight="1" x14ac:dyDescent="0.3">
      <c r="U826" s="3"/>
    </row>
    <row r="827" spans="21:21" ht="20.100000000000001" customHeight="1" x14ac:dyDescent="0.3">
      <c r="U827" s="3"/>
    </row>
    <row r="828" spans="21:21" ht="20.100000000000001" customHeight="1" x14ac:dyDescent="0.3">
      <c r="U828" s="3"/>
    </row>
    <row r="829" spans="21:21" ht="20.100000000000001" customHeight="1" x14ac:dyDescent="0.3">
      <c r="U829" s="3"/>
    </row>
    <row r="830" spans="21:21" ht="20.100000000000001" customHeight="1" x14ac:dyDescent="0.3">
      <c r="U830" s="3"/>
    </row>
    <row r="831" spans="21:21" ht="20.100000000000001" customHeight="1" x14ac:dyDescent="0.3">
      <c r="U831" s="3"/>
    </row>
    <row r="832" spans="21:21" ht="20.100000000000001" customHeight="1" x14ac:dyDescent="0.3">
      <c r="U832" s="3"/>
    </row>
    <row r="833" spans="21:21" ht="20.100000000000001" customHeight="1" x14ac:dyDescent="0.3">
      <c r="U833" s="3"/>
    </row>
    <row r="834" spans="21:21" ht="20.100000000000001" customHeight="1" x14ac:dyDescent="0.3">
      <c r="U834" s="3"/>
    </row>
    <row r="835" spans="21:21" ht="20.100000000000001" customHeight="1" x14ac:dyDescent="0.3">
      <c r="U835" s="3"/>
    </row>
    <row r="836" spans="21:21" ht="20.100000000000001" customHeight="1" x14ac:dyDescent="0.3">
      <c r="U836" s="3"/>
    </row>
    <row r="837" spans="21:21" ht="20.100000000000001" customHeight="1" x14ac:dyDescent="0.3">
      <c r="U837" s="3"/>
    </row>
    <row r="838" spans="21:21" ht="20.100000000000001" customHeight="1" x14ac:dyDescent="0.3">
      <c r="U838" s="3"/>
    </row>
    <row r="839" spans="21:21" ht="20.100000000000001" customHeight="1" x14ac:dyDescent="0.3">
      <c r="U839" s="3"/>
    </row>
    <row r="840" spans="21:21" ht="20.100000000000001" customHeight="1" x14ac:dyDescent="0.3">
      <c r="U840" s="3"/>
    </row>
    <row r="841" spans="21:21" ht="20.100000000000001" customHeight="1" x14ac:dyDescent="0.3">
      <c r="U841" s="3"/>
    </row>
    <row r="842" spans="21:21" ht="20.100000000000001" customHeight="1" x14ac:dyDescent="0.3">
      <c r="U842" s="3"/>
    </row>
    <row r="843" spans="21:21" ht="20.100000000000001" customHeight="1" x14ac:dyDescent="0.3">
      <c r="U843" s="3"/>
    </row>
    <row r="844" spans="21:21" ht="20.100000000000001" customHeight="1" x14ac:dyDescent="0.3">
      <c r="U844" s="3"/>
    </row>
    <row r="845" spans="21:21" ht="20.100000000000001" customHeight="1" x14ac:dyDescent="0.3">
      <c r="U845" s="3"/>
    </row>
    <row r="846" spans="21:21" ht="20.100000000000001" customHeight="1" x14ac:dyDescent="0.3">
      <c r="U846" s="3"/>
    </row>
    <row r="847" spans="21:21" ht="20.100000000000001" customHeight="1" x14ac:dyDescent="0.3">
      <c r="U847" s="3"/>
    </row>
    <row r="848" spans="21:21" ht="20.100000000000001" customHeight="1" x14ac:dyDescent="0.3">
      <c r="U848" s="3"/>
    </row>
    <row r="849" spans="21:21" ht="20.100000000000001" customHeight="1" x14ac:dyDescent="0.3">
      <c r="U849" s="3"/>
    </row>
    <row r="850" spans="21:21" ht="20.100000000000001" customHeight="1" x14ac:dyDescent="0.3">
      <c r="U850" s="3"/>
    </row>
    <row r="851" spans="21:21" ht="20.100000000000001" customHeight="1" x14ac:dyDescent="0.3">
      <c r="U851" s="3"/>
    </row>
    <row r="852" spans="21:21" ht="20.100000000000001" customHeight="1" x14ac:dyDescent="0.3">
      <c r="U852" s="3"/>
    </row>
    <row r="853" spans="21:21" ht="20.100000000000001" customHeight="1" x14ac:dyDescent="0.3">
      <c r="U853" s="3"/>
    </row>
    <row r="854" spans="21:21" ht="20.100000000000001" customHeight="1" x14ac:dyDescent="0.3">
      <c r="U854" s="3"/>
    </row>
    <row r="855" spans="21:21" ht="20.100000000000001" customHeight="1" x14ac:dyDescent="0.3">
      <c r="U855" s="3"/>
    </row>
    <row r="856" spans="21:21" ht="20.100000000000001" customHeight="1" x14ac:dyDescent="0.3">
      <c r="U856" s="3"/>
    </row>
    <row r="857" spans="21:21" ht="20.100000000000001" customHeight="1" x14ac:dyDescent="0.3">
      <c r="U857" s="3"/>
    </row>
    <row r="858" spans="21:21" ht="20.100000000000001" customHeight="1" x14ac:dyDescent="0.3">
      <c r="U858" s="3"/>
    </row>
    <row r="859" spans="21:21" ht="20.100000000000001" customHeight="1" x14ac:dyDescent="0.3">
      <c r="U859" s="3"/>
    </row>
    <row r="860" spans="21:21" ht="20.100000000000001" customHeight="1" x14ac:dyDescent="0.3">
      <c r="U860" s="3"/>
    </row>
    <row r="861" spans="21:21" ht="20.100000000000001" customHeight="1" x14ac:dyDescent="0.3">
      <c r="U861" s="3"/>
    </row>
    <row r="862" spans="21:21" ht="20.100000000000001" customHeight="1" x14ac:dyDescent="0.3">
      <c r="U862" s="3"/>
    </row>
    <row r="863" spans="21:21" ht="20.100000000000001" customHeight="1" x14ac:dyDescent="0.3">
      <c r="U863" s="3"/>
    </row>
    <row r="864" spans="21:21" ht="20.100000000000001" customHeight="1" x14ac:dyDescent="0.3">
      <c r="U864" s="3"/>
    </row>
    <row r="865" spans="21:21" ht="20.100000000000001" customHeight="1" x14ac:dyDescent="0.3">
      <c r="U865" s="3"/>
    </row>
    <row r="866" spans="21:21" ht="20.100000000000001" customHeight="1" x14ac:dyDescent="0.3">
      <c r="U866" s="3"/>
    </row>
    <row r="867" spans="21:21" ht="20.100000000000001" customHeight="1" x14ac:dyDescent="0.3">
      <c r="U867" s="3"/>
    </row>
    <row r="868" spans="21:21" ht="20.100000000000001" customHeight="1" x14ac:dyDescent="0.3">
      <c r="U868" s="3"/>
    </row>
    <row r="869" spans="21:21" ht="20.100000000000001" customHeight="1" x14ac:dyDescent="0.3">
      <c r="U869" s="3"/>
    </row>
    <row r="870" spans="21:21" ht="20.100000000000001" customHeight="1" x14ac:dyDescent="0.3">
      <c r="U870" s="3"/>
    </row>
    <row r="871" spans="21:21" ht="20.100000000000001" customHeight="1" x14ac:dyDescent="0.3">
      <c r="U871" s="3"/>
    </row>
    <row r="872" spans="21:21" ht="20.100000000000001" customHeight="1" x14ac:dyDescent="0.3">
      <c r="U872" s="3"/>
    </row>
    <row r="873" spans="21:21" ht="20.100000000000001" customHeight="1" x14ac:dyDescent="0.3">
      <c r="U873" s="3"/>
    </row>
    <row r="874" spans="21:21" ht="20.100000000000001" customHeight="1" x14ac:dyDescent="0.3">
      <c r="U874" s="3"/>
    </row>
    <row r="875" spans="21:21" ht="20.100000000000001" customHeight="1" x14ac:dyDescent="0.3">
      <c r="U875" s="3"/>
    </row>
    <row r="876" spans="21:21" ht="20.100000000000001" customHeight="1" x14ac:dyDescent="0.3">
      <c r="U876" s="3"/>
    </row>
    <row r="877" spans="21:21" ht="20.100000000000001" customHeight="1" x14ac:dyDescent="0.3">
      <c r="U877" s="3"/>
    </row>
    <row r="878" spans="21:21" ht="20.100000000000001" customHeight="1" x14ac:dyDescent="0.3">
      <c r="U878" s="3"/>
    </row>
    <row r="879" spans="21:21" ht="20.100000000000001" customHeight="1" x14ac:dyDescent="0.3">
      <c r="U879" s="3"/>
    </row>
    <row r="880" spans="21:21" ht="20.100000000000001" customHeight="1" x14ac:dyDescent="0.3">
      <c r="U880" s="3"/>
    </row>
    <row r="881" spans="21:21" ht="20.100000000000001" customHeight="1" x14ac:dyDescent="0.3">
      <c r="U881" s="3"/>
    </row>
    <row r="882" spans="21:21" ht="20.100000000000001" customHeight="1" x14ac:dyDescent="0.3">
      <c r="U882" s="3"/>
    </row>
    <row r="883" spans="21:21" ht="20.100000000000001" customHeight="1" x14ac:dyDescent="0.3">
      <c r="U883" s="3"/>
    </row>
    <row r="884" spans="21:21" ht="20.100000000000001" customHeight="1" x14ac:dyDescent="0.3">
      <c r="U884" s="3"/>
    </row>
    <row r="885" spans="21:21" ht="20.100000000000001" customHeight="1" x14ac:dyDescent="0.3">
      <c r="U885" s="3"/>
    </row>
    <row r="886" spans="21:21" ht="20.100000000000001" customHeight="1" x14ac:dyDescent="0.3">
      <c r="U886" s="3"/>
    </row>
    <row r="887" spans="21:21" ht="20.100000000000001" customHeight="1" x14ac:dyDescent="0.3">
      <c r="U887" s="3"/>
    </row>
    <row r="888" spans="21:21" ht="20.100000000000001" customHeight="1" x14ac:dyDescent="0.3">
      <c r="U888" s="3"/>
    </row>
    <row r="889" spans="21:21" ht="20.100000000000001" customHeight="1" x14ac:dyDescent="0.3">
      <c r="U889" s="3"/>
    </row>
    <row r="890" spans="21:21" ht="20.100000000000001" customHeight="1" x14ac:dyDescent="0.3">
      <c r="U890" s="3"/>
    </row>
    <row r="891" spans="21:21" ht="20.100000000000001" customHeight="1" x14ac:dyDescent="0.3">
      <c r="U891" s="3"/>
    </row>
    <row r="892" spans="21:21" ht="20.100000000000001" customHeight="1" x14ac:dyDescent="0.3">
      <c r="U892" s="3"/>
    </row>
    <row r="893" spans="21:21" ht="20.100000000000001" customHeight="1" x14ac:dyDescent="0.3">
      <c r="U893" s="3"/>
    </row>
    <row r="894" spans="21:21" ht="20.100000000000001" customHeight="1" x14ac:dyDescent="0.3">
      <c r="U894" s="3"/>
    </row>
    <row r="895" spans="21:21" ht="20.100000000000001" customHeight="1" x14ac:dyDescent="0.3">
      <c r="U895" s="3"/>
    </row>
    <row r="896" spans="21:21" ht="20.100000000000001" customHeight="1" x14ac:dyDescent="0.3">
      <c r="U896" s="3"/>
    </row>
    <row r="897" spans="21:21" ht="20.100000000000001" customHeight="1" x14ac:dyDescent="0.3">
      <c r="U897" s="3"/>
    </row>
    <row r="898" spans="21:21" ht="20.100000000000001" customHeight="1" x14ac:dyDescent="0.3">
      <c r="U898" s="3"/>
    </row>
    <row r="899" spans="21:21" ht="20.100000000000001" customHeight="1" x14ac:dyDescent="0.3">
      <c r="U899" s="3"/>
    </row>
    <row r="900" spans="21:21" ht="20.100000000000001" customHeight="1" x14ac:dyDescent="0.3">
      <c r="U900" s="3"/>
    </row>
    <row r="901" spans="21:21" ht="20.100000000000001" customHeight="1" x14ac:dyDescent="0.3">
      <c r="U901" s="3"/>
    </row>
    <row r="902" spans="21:21" ht="20.100000000000001" customHeight="1" x14ac:dyDescent="0.3">
      <c r="U902" s="3"/>
    </row>
    <row r="903" spans="21:21" ht="20.100000000000001" customHeight="1" x14ac:dyDescent="0.3">
      <c r="U903" s="3"/>
    </row>
    <row r="904" spans="21:21" ht="20.100000000000001" customHeight="1" x14ac:dyDescent="0.3">
      <c r="U904" s="3"/>
    </row>
    <row r="905" spans="21:21" ht="20.100000000000001" customHeight="1" x14ac:dyDescent="0.3">
      <c r="U905" s="3"/>
    </row>
    <row r="906" spans="21:21" ht="20.100000000000001" customHeight="1" x14ac:dyDescent="0.3">
      <c r="U906" s="3"/>
    </row>
    <row r="907" spans="21:21" ht="20.100000000000001" customHeight="1" x14ac:dyDescent="0.3">
      <c r="U907" s="3"/>
    </row>
    <row r="908" spans="21:21" ht="20.100000000000001" customHeight="1" x14ac:dyDescent="0.3">
      <c r="U908" s="3"/>
    </row>
    <row r="909" spans="21:21" ht="20.100000000000001" customHeight="1" x14ac:dyDescent="0.3">
      <c r="U909" s="3"/>
    </row>
    <row r="910" spans="21:21" ht="20.100000000000001" customHeight="1" x14ac:dyDescent="0.3">
      <c r="U910" s="3"/>
    </row>
    <row r="911" spans="21:21" ht="20.100000000000001" customHeight="1" x14ac:dyDescent="0.3">
      <c r="U911" s="3"/>
    </row>
    <row r="912" spans="21:21" ht="20.100000000000001" customHeight="1" x14ac:dyDescent="0.3">
      <c r="U912" s="3"/>
    </row>
    <row r="913" spans="21:21" ht="20.100000000000001" customHeight="1" x14ac:dyDescent="0.3">
      <c r="U913" s="3"/>
    </row>
    <row r="914" spans="21:21" ht="20.100000000000001" customHeight="1" x14ac:dyDescent="0.3">
      <c r="U914" s="3"/>
    </row>
    <row r="915" spans="21:21" ht="20.100000000000001" customHeight="1" x14ac:dyDescent="0.3">
      <c r="U915" s="3"/>
    </row>
    <row r="916" spans="21:21" ht="20.100000000000001" customHeight="1" x14ac:dyDescent="0.3">
      <c r="U916" s="3"/>
    </row>
    <row r="917" spans="21:21" ht="20.100000000000001" customHeight="1" x14ac:dyDescent="0.3">
      <c r="U917" s="3"/>
    </row>
    <row r="918" spans="21:21" ht="20.100000000000001" customHeight="1" x14ac:dyDescent="0.3">
      <c r="U918" s="3"/>
    </row>
    <row r="919" spans="21:21" ht="20.100000000000001" customHeight="1" x14ac:dyDescent="0.3">
      <c r="U919" s="3"/>
    </row>
    <row r="920" spans="21:21" ht="20.100000000000001" customHeight="1" x14ac:dyDescent="0.3">
      <c r="U920" s="3"/>
    </row>
    <row r="921" spans="21:21" ht="20.100000000000001" customHeight="1" x14ac:dyDescent="0.3">
      <c r="U921" s="3"/>
    </row>
    <row r="922" spans="21:21" ht="20.100000000000001" customHeight="1" x14ac:dyDescent="0.3">
      <c r="U922" s="3"/>
    </row>
    <row r="923" spans="21:21" ht="20.100000000000001" customHeight="1" x14ac:dyDescent="0.3">
      <c r="U923" s="3"/>
    </row>
    <row r="924" spans="21:21" ht="20.100000000000001" customHeight="1" x14ac:dyDescent="0.3">
      <c r="U924" s="3"/>
    </row>
    <row r="925" spans="21:21" ht="20.100000000000001" customHeight="1" x14ac:dyDescent="0.3">
      <c r="U925" s="3"/>
    </row>
    <row r="926" spans="21:21" ht="20.100000000000001" customHeight="1" x14ac:dyDescent="0.3">
      <c r="U926" s="3"/>
    </row>
    <row r="927" spans="21:21" ht="20.100000000000001" customHeight="1" x14ac:dyDescent="0.3">
      <c r="U927" s="3"/>
    </row>
    <row r="928" spans="21:21" ht="20.100000000000001" customHeight="1" x14ac:dyDescent="0.3">
      <c r="U928" s="3"/>
    </row>
    <row r="929" spans="21:21" ht="20.100000000000001" customHeight="1" x14ac:dyDescent="0.3">
      <c r="U929" s="3"/>
    </row>
    <row r="930" spans="21:21" ht="20.100000000000001" customHeight="1" x14ac:dyDescent="0.3">
      <c r="U930" s="3"/>
    </row>
    <row r="931" spans="21:21" ht="20.100000000000001" customHeight="1" x14ac:dyDescent="0.3">
      <c r="U931" s="3"/>
    </row>
    <row r="932" spans="21:21" ht="20.100000000000001" customHeight="1" x14ac:dyDescent="0.3">
      <c r="U932" s="3"/>
    </row>
    <row r="933" spans="21:21" ht="20.100000000000001" customHeight="1" x14ac:dyDescent="0.3">
      <c r="U933" s="3"/>
    </row>
    <row r="934" spans="21:21" ht="20.100000000000001" customHeight="1" x14ac:dyDescent="0.3">
      <c r="U934" s="3"/>
    </row>
    <row r="935" spans="21:21" ht="20.100000000000001" customHeight="1" x14ac:dyDescent="0.3">
      <c r="U935" s="3"/>
    </row>
    <row r="936" spans="21:21" ht="20.100000000000001" customHeight="1" x14ac:dyDescent="0.3">
      <c r="U936" s="3"/>
    </row>
    <row r="937" spans="21:21" ht="20.100000000000001" customHeight="1" x14ac:dyDescent="0.3">
      <c r="U937" s="3"/>
    </row>
    <row r="938" spans="21:21" ht="20.100000000000001" customHeight="1" x14ac:dyDescent="0.3">
      <c r="U938" s="3"/>
    </row>
    <row r="939" spans="21:21" ht="20.100000000000001" customHeight="1" x14ac:dyDescent="0.3">
      <c r="U939" s="3"/>
    </row>
    <row r="940" spans="21:21" ht="20.100000000000001" customHeight="1" x14ac:dyDescent="0.3">
      <c r="U940" s="3"/>
    </row>
    <row r="941" spans="21:21" ht="20.100000000000001" customHeight="1" x14ac:dyDescent="0.3">
      <c r="U941" s="3"/>
    </row>
    <row r="942" spans="21:21" ht="20.100000000000001" customHeight="1" x14ac:dyDescent="0.3">
      <c r="U942" s="3"/>
    </row>
    <row r="943" spans="21:21" ht="20.100000000000001" customHeight="1" x14ac:dyDescent="0.3">
      <c r="U943" s="3"/>
    </row>
    <row r="944" spans="21:21" ht="20.100000000000001" customHeight="1" x14ac:dyDescent="0.3">
      <c r="U944" s="3"/>
    </row>
    <row r="945" spans="21:21" ht="20.100000000000001" customHeight="1" x14ac:dyDescent="0.3">
      <c r="U945" s="3"/>
    </row>
    <row r="946" spans="21:21" ht="20.100000000000001" customHeight="1" x14ac:dyDescent="0.3">
      <c r="U946" s="3"/>
    </row>
    <row r="947" spans="21:21" ht="20.100000000000001" customHeight="1" x14ac:dyDescent="0.3">
      <c r="U947" s="3"/>
    </row>
    <row r="948" spans="21:21" ht="20.100000000000001" customHeight="1" x14ac:dyDescent="0.3">
      <c r="U948" s="3"/>
    </row>
    <row r="949" spans="21:21" ht="20.100000000000001" customHeight="1" x14ac:dyDescent="0.3">
      <c r="U949" s="3"/>
    </row>
    <row r="950" spans="21:21" ht="20.100000000000001" customHeight="1" x14ac:dyDescent="0.3">
      <c r="U950" s="3"/>
    </row>
    <row r="951" spans="21:21" ht="20.100000000000001" customHeight="1" x14ac:dyDescent="0.3">
      <c r="U951" s="3"/>
    </row>
    <row r="952" spans="21:21" ht="20.100000000000001" customHeight="1" x14ac:dyDescent="0.3">
      <c r="U952" s="3"/>
    </row>
    <row r="953" spans="21:21" ht="20.100000000000001" customHeight="1" x14ac:dyDescent="0.3">
      <c r="U953" s="3"/>
    </row>
    <row r="954" spans="21:21" ht="20.100000000000001" customHeight="1" x14ac:dyDescent="0.3">
      <c r="U954" s="3"/>
    </row>
    <row r="955" spans="21:21" ht="20.100000000000001" customHeight="1" x14ac:dyDescent="0.3">
      <c r="U955" s="3"/>
    </row>
    <row r="956" spans="21:21" ht="20.100000000000001" customHeight="1" x14ac:dyDescent="0.3">
      <c r="U956" s="3"/>
    </row>
    <row r="957" spans="21:21" ht="20.100000000000001" customHeight="1" x14ac:dyDescent="0.3">
      <c r="U957" s="3"/>
    </row>
    <row r="958" spans="21:21" ht="20.100000000000001" customHeight="1" x14ac:dyDescent="0.3">
      <c r="U958" s="3"/>
    </row>
    <row r="959" spans="21:21" ht="20.100000000000001" customHeight="1" x14ac:dyDescent="0.3">
      <c r="U959" s="3"/>
    </row>
    <row r="960" spans="21:21" ht="20.100000000000001" customHeight="1" x14ac:dyDescent="0.3">
      <c r="U960" s="3"/>
    </row>
    <row r="961" spans="21:21" ht="20.100000000000001" customHeight="1" x14ac:dyDescent="0.3">
      <c r="U961" s="3"/>
    </row>
    <row r="962" spans="21:21" ht="20.100000000000001" customHeight="1" x14ac:dyDescent="0.3">
      <c r="U962" s="3"/>
    </row>
    <row r="963" spans="21:21" ht="20.100000000000001" customHeight="1" x14ac:dyDescent="0.3">
      <c r="U963" s="3"/>
    </row>
    <row r="964" spans="21:21" ht="20.100000000000001" customHeight="1" x14ac:dyDescent="0.3">
      <c r="U964" s="3"/>
    </row>
    <row r="965" spans="21:21" ht="20.100000000000001" customHeight="1" x14ac:dyDescent="0.3">
      <c r="U965" s="3"/>
    </row>
    <row r="966" spans="21:21" ht="20.100000000000001" customHeight="1" x14ac:dyDescent="0.3">
      <c r="U966" s="3"/>
    </row>
    <row r="967" spans="21:21" ht="20.100000000000001" customHeight="1" x14ac:dyDescent="0.3">
      <c r="U967" s="3"/>
    </row>
    <row r="968" spans="21:21" ht="20.100000000000001" customHeight="1" x14ac:dyDescent="0.3">
      <c r="U968" s="3"/>
    </row>
    <row r="969" spans="21:21" ht="20.100000000000001" customHeight="1" x14ac:dyDescent="0.3">
      <c r="U969" s="3"/>
    </row>
    <row r="970" spans="21:21" ht="20.100000000000001" customHeight="1" x14ac:dyDescent="0.3">
      <c r="U970" s="3"/>
    </row>
    <row r="971" spans="21:21" ht="20.100000000000001" customHeight="1" x14ac:dyDescent="0.3">
      <c r="U971" s="3"/>
    </row>
    <row r="972" spans="21:21" ht="20.100000000000001" customHeight="1" x14ac:dyDescent="0.3">
      <c r="U972" s="3"/>
    </row>
    <row r="973" spans="21:21" ht="20.100000000000001" customHeight="1" x14ac:dyDescent="0.3">
      <c r="U973" s="3"/>
    </row>
    <row r="974" spans="21:21" ht="20.100000000000001" customHeight="1" x14ac:dyDescent="0.3">
      <c r="U974" s="3"/>
    </row>
    <row r="975" spans="21:21" ht="20.100000000000001" customHeight="1" x14ac:dyDescent="0.3">
      <c r="U975" s="3"/>
    </row>
    <row r="976" spans="21:21" ht="20.100000000000001" customHeight="1" x14ac:dyDescent="0.3">
      <c r="U976" s="3"/>
    </row>
    <row r="977" spans="21:21" ht="20.100000000000001" customHeight="1" x14ac:dyDescent="0.3">
      <c r="U977" s="3"/>
    </row>
    <row r="978" spans="21:21" ht="20.100000000000001" customHeight="1" x14ac:dyDescent="0.3">
      <c r="U978" s="3"/>
    </row>
    <row r="979" spans="21:21" ht="20.100000000000001" customHeight="1" x14ac:dyDescent="0.3">
      <c r="U979" s="3"/>
    </row>
    <row r="980" spans="21:21" ht="20.100000000000001" customHeight="1" x14ac:dyDescent="0.3">
      <c r="U980" s="3"/>
    </row>
    <row r="981" spans="21:21" ht="20.100000000000001" customHeight="1" x14ac:dyDescent="0.3">
      <c r="U981" s="3"/>
    </row>
    <row r="982" spans="21:21" ht="20.100000000000001" customHeight="1" x14ac:dyDescent="0.3">
      <c r="U982" s="3"/>
    </row>
    <row r="983" spans="21:21" ht="20.100000000000001" customHeight="1" x14ac:dyDescent="0.3">
      <c r="U983" s="3"/>
    </row>
    <row r="984" spans="21:21" ht="20.100000000000001" customHeight="1" x14ac:dyDescent="0.3">
      <c r="U984" s="3"/>
    </row>
    <row r="985" spans="21:21" ht="20.100000000000001" customHeight="1" x14ac:dyDescent="0.3">
      <c r="U985" s="3"/>
    </row>
    <row r="986" spans="21:21" ht="20.100000000000001" customHeight="1" x14ac:dyDescent="0.3">
      <c r="U986" s="3"/>
    </row>
    <row r="987" spans="21:21" ht="20.100000000000001" customHeight="1" x14ac:dyDescent="0.3">
      <c r="U987" s="3"/>
    </row>
    <row r="988" spans="21:21" ht="20.100000000000001" customHeight="1" x14ac:dyDescent="0.3">
      <c r="U988" s="3"/>
    </row>
    <row r="989" spans="21:21" ht="20.100000000000001" customHeight="1" x14ac:dyDescent="0.3">
      <c r="U989" s="3"/>
    </row>
    <row r="990" spans="21:21" ht="20.100000000000001" customHeight="1" x14ac:dyDescent="0.3">
      <c r="U990" s="3"/>
    </row>
    <row r="991" spans="21:21" ht="20.100000000000001" customHeight="1" x14ac:dyDescent="0.3">
      <c r="U991" s="3"/>
    </row>
    <row r="992" spans="21:21" ht="20.100000000000001" customHeight="1" x14ac:dyDescent="0.3">
      <c r="U992" s="3"/>
    </row>
    <row r="993" spans="21:21" ht="20.100000000000001" customHeight="1" x14ac:dyDescent="0.3">
      <c r="U993" s="3"/>
    </row>
    <row r="994" spans="21:21" ht="20.100000000000001" customHeight="1" x14ac:dyDescent="0.3">
      <c r="U994" s="3"/>
    </row>
    <row r="995" spans="21:21" ht="20.100000000000001" customHeight="1" x14ac:dyDescent="0.3">
      <c r="U995" s="3"/>
    </row>
    <row r="996" spans="21:21" ht="20.100000000000001" customHeight="1" x14ac:dyDescent="0.3">
      <c r="U996" s="3"/>
    </row>
    <row r="997" spans="21:21" ht="20.100000000000001" customHeight="1" x14ac:dyDescent="0.3">
      <c r="U997" s="3"/>
    </row>
    <row r="998" spans="21:21" ht="20.100000000000001" customHeight="1" x14ac:dyDescent="0.3">
      <c r="U998" s="3"/>
    </row>
    <row r="999" spans="21:21" ht="20.100000000000001" customHeight="1" x14ac:dyDescent="0.3">
      <c r="U999" s="3"/>
    </row>
    <row r="1000" spans="21:21" ht="20.100000000000001" customHeight="1" x14ac:dyDescent="0.3">
      <c r="U1000" s="3"/>
    </row>
    <row r="1001" spans="21:21" ht="20.100000000000001" customHeight="1" x14ac:dyDescent="0.3">
      <c r="U1001" s="3"/>
    </row>
    <row r="1002" spans="21:21" ht="20.100000000000001" customHeight="1" x14ac:dyDescent="0.3">
      <c r="U1002" s="3"/>
    </row>
    <row r="1003" spans="21:21" ht="20.100000000000001" customHeight="1" x14ac:dyDescent="0.3">
      <c r="U1003" s="3"/>
    </row>
    <row r="1004" spans="21:21" ht="20.100000000000001" customHeight="1" x14ac:dyDescent="0.3">
      <c r="U1004" s="3"/>
    </row>
    <row r="1005" spans="21:21" ht="20.100000000000001" customHeight="1" x14ac:dyDescent="0.3">
      <c r="U1005" s="3"/>
    </row>
    <row r="1006" spans="21:21" ht="20.100000000000001" customHeight="1" x14ac:dyDescent="0.3">
      <c r="U1006" s="3"/>
    </row>
    <row r="1007" spans="21:21" ht="20.100000000000001" customHeight="1" x14ac:dyDescent="0.3">
      <c r="U1007" s="3"/>
    </row>
    <row r="1008" spans="21:21" ht="20.100000000000001" customHeight="1" x14ac:dyDescent="0.3">
      <c r="U1008" s="3"/>
    </row>
    <row r="1009" spans="21:21" ht="20.100000000000001" customHeight="1" x14ac:dyDescent="0.3">
      <c r="U1009" s="3"/>
    </row>
    <row r="1010" spans="21:21" ht="20.100000000000001" customHeight="1" x14ac:dyDescent="0.3">
      <c r="U1010" s="3"/>
    </row>
    <row r="1011" spans="21:21" ht="20.100000000000001" customHeight="1" x14ac:dyDescent="0.3">
      <c r="U1011" s="3"/>
    </row>
    <row r="1012" spans="21:21" ht="20.100000000000001" customHeight="1" x14ac:dyDescent="0.3">
      <c r="U1012" s="3"/>
    </row>
    <row r="1013" spans="21:21" ht="20.100000000000001" customHeight="1" x14ac:dyDescent="0.3">
      <c r="U1013" s="3"/>
    </row>
    <row r="1014" spans="21:21" ht="20.100000000000001" customHeight="1" x14ac:dyDescent="0.3">
      <c r="U1014" s="3"/>
    </row>
    <row r="1015" spans="21:21" ht="20.100000000000001" customHeight="1" x14ac:dyDescent="0.3">
      <c r="U1015" s="3"/>
    </row>
    <row r="1016" spans="21:21" ht="20.100000000000001" customHeight="1" x14ac:dyDescent="0.3">
      <c r="U1016" s="3"/>
    </row>
    <row r="1017" spans="21:21" ht="20.100000000000001" customHeight="1" x14ac:dyDescent="0.3">
      <c r="U1017" s="3"/>
    </row>
    <row r="1018" spans="21:21" ht="20.100000000000001" customHeight="1" x14ac:dyDescent="0.3">
      <c r="U1018" s="3"/>
    </row>
    <row r="1019" spans="21:21" ht="20.100000000000001" customHeight="1" x14ac:dyDescent="0.3">
      <c r="U1019" s="3"/>
    </row>
    <row r="1020" spans="21:21" ht="20.100000000000001" customHeight="1" x14ac:dyDescent="0.3">
      <c r="U1020" s="3"/>
    </row>
    <row r="1021" spans="21:21" ht="20.100000000000001" customHeight="1" x14ac:dyDescent="0.3">
      <c r="U1021" s="3"/>
    </row>
    <row r="1022" spans="21:21" ht="20.100000000000001" customHeight="1" x14ac:dyDescent="0.3">
      <c r="U1022" s="3"/>
    </row>
    <row r="1023" spans="21:21" ht="20.100000000000001" customHeight="1" x14ac:dyDescent="0.3">
      <c r="U1023" s="3"/>
    </row>
    <row r="1024" spans="21:21" ht="20.100000000000001" customHeight="1" x14ac:dyDescent="0.3">
      <c r="U1024" s="3"/>
    </row>
    <row r="1025" spans="21:21" ht="20.100000000000001" customHeight="1" x14ac:dyDescent="0.3">
      <c r="U1025" s="3"/>
    </row>
    <row r="1026" spans="21:21" ht="20.100000000000001" customHeight="1" x14ac:dyDescent="0.3">
      <c r="U1026" s="3"/>
    </row>
    <row r="1027" spans="21:21" ht="20.100000000000001" customHeight="1" x14ac:dyDescent="0.3">
      <c r="U1027" s="3"/>
    </row>
    <row r="1028" spans="21:21" ht="20.100000000000001" customHeight="1" x14ac:dyDescent="0.3">
      <c r="U1028" s="3"/>
    </row>
    <row r="1029" spans="21:21" ht="20.100000000000001" customHeight="1" x14ac:dyDescent="0.3">
      <c r="U1029" s="3"/>
    </row>
    <row r="1030" spans="21:21" ht="20.100000000000001" customHeight="1" x14ac:dyDescent="0.3">
      <c r="U1030" s="3"/>
    </row>
    <row r="1031" spans="21:21" x14ac:dyDescent="0.3">
      <c r="U1031" s="3"/>
    </row>
    <row r="1032" spans="21:21" x14ac:dyDescent="0.3">
      <c r="U1032" s="3"/>
    </row>
    <row r="1033" spans="21:21" x14ac:dyDescent="0.3">
      <c r="U1033" s="3"/>
    </row>
    <row r="1034" spans="21:21" x14ac:dyDescent="0.3">
      <c r="U1034" s="3"/>
    </row>
    <row r="1035" spans="21:21" x14ac:dyDescent="0.3">
      <c r="U1035" s="3"/>
    </row>
    <row r="1036" spans="21:21" x14ac:dyDescent="0.3">
      <c r="U1036" s="3"/>
    </row>
    <row r="1037" spans="21:21" x14ac:dyDescent="0.3">
      <c r="U1037" s="3"/>
    </row>
    <row r="1038" spans="21:21" x14ac:dyDescent="0.3">
      <c r="U1038" s="3"/>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9D333-4478-4D6E-BF88-1BEABFE40A5C}">
  <sheetPr codeName="Sheet2"/>
  <dimension ref="A1:AW80"/>
  <sheetViews>
    <sheetView topLeftCell="F6" workbookViewId="0">
      <selection activeCell="P13" sqref="P13"/>
    </sheetView>
  </sheetViews>
  <sheetFormatPr defaultRowHeight="14.4" x14ac:dyDescent="0.3"/>
  <cols>
    <col min="1" max="1" width="12.77734375" bestFit="1" customWidth="1"/>
    <col min="2" max="2" width="15" bestFit="1" customWidth="1"/>
    <col min="4" max="4" width="13.88671875" bestFit="1" customWidth="1"/>
    <col min="6" max="6" width="13.21875" bestFit="1" customWidth="1"/>
    <col min="7" max="7" width="15" bestFit="1" customWidth="1"/>
    <col min="11" max="11" width="12.77734375" bestFit="1" customWidth="1"/>
    <col min="12" max="12" width="15" bestFit="1" customWidth="1"/>
    <col min="13" max="13" width="10.21875" bestFit="1" customWidth="1"/>
    <col min="16" max="16" width="13.21875" bestFit="1" customWidth="1"/>
    <col min="17" max="17" width="16.88671875" bestFit="1" customWidth="1"/>
    <col min="18" max="18" width="7.88671875" bestFit="1" customWidth="1"/>
    <col min="19" max="19" width="10.44140625" bestFit="1" customWidth="1"/>
    <col min="20" max="20" width="12" bestFit="1" customWidth="1"/>
    <col min="21" max="21" width="12.77734375" bestFit="1" customWidth="1"/>
    <col min="22" max="22" width="16.88671875" bestFit="1" customWidth="1"/>
    <col min="26" max="26" width="12.77734375" bestFit="1" customWidth="1"/>
    <col min="27" max="27" width="16.88671875" bestFit="1" customWidth="1"/>
    <col min="28" max="28" width="11" bestFit="1" customWidth="1"/>
    <col min="31" max="31" width="16.21875" bestFit="1" customWidth="1"/>
    <col min="32" max="32" width="15.6640625" bestFit="1" customWidth="1"/>
    <col min="37" max="37" width="17.33203125" bestFit="1" customWidth="1"/>
    <col min="38" max="38" width="13.88671875" bestFit="1" customWidth="1"/>
    <col min="41" max="41" width="8.88671875" style="36"/>
    <col min="42" max="42" width="12.77734375" bestFit="1" customWidth="1"/>
    <col min="43" max="43" width="21.33203125" bestFit="1" customWidth="1"/>
    <col min="46" max="46" width="12.77734375" bestFit="1" customWidth="1"/>
    <col min="47" max="47" width="13.21875" bestFit="1" customWidth="1"/>
  </cols>
  <sheetData>
    <row r="1" spans="1:49" x14ac:dyDescent="0.3">
      <c r="A1" s="57" t="s">
        <v>271</v>
      </c>
      <c r="B1" s="57"/>
      <c r="C1" s="57"/>
      <c r="D1" s="57"/>
      <c r="E1" s="33"/>
      <c r="F1" s="57" t="s">
        <v>275</v>
      </c>
      <c r="G1" s="57"/>
      <c r="H1" s="57"/>
      <c r="I1" s="57"/>
      <c r="J1" s="33"/>
      <c r="K1" s="57" t="s">
        <v>276</v>
      </c>
      <c r="L1" s="57"/>
      <c r="M1" s="57"/>
      <c r="N1" s="57"/>
      <c r="O1" s="33"/>
      <c r="P1" s="57" t="s">
        <v>278</v>
      </c>
      <c r="Q1" s="57"/>
      <c r="R1" s="57"/>
      <c r="S1" s="57"/>
      <c r="T1" s="33"/>
      <c r="U1" s="57" t="s">
        <v>279</v>
      </c>
      <c r="V1" s="57"/>
      <c r="W1" s="57"/>
      <c r="X1" s="57"/>
      <c r="Y1" s="33"/>
      <c r="Z1" s="57" t="s">
        <v>279</v>
      </c>
      <c r="AA1" s="57"/>
      <c r="AB1" s="57"/>
      <c r="AC1" s="57"/>
      <c r="AD1" s="33"/>
      <c r="AE1" s="57" t="s">
        <v>281</v>
      </c>
      <c r="AF1" s="57"/>
      <c r="AG1" s="57"/>
      <c r="AH1" s="57"/>
      <c r="AI1" s="57"/>
      <c r="AJ1" s="36"/>
      <c r="AK1" s="56" t="s">
        <v>284</v>
      </c>
      <c r="AL1" s="56"/>
      <c r="AM1" s="56"/>
      <c r="AN1" s="56"/>
      <c r="AP1" s="56" t="s">
        <v>286</v>
      </c>
      <c r="AQ1" s="56"/>
      <c r="AR1" s="56"/>
      <c r="AS1" s="50"/>
    </row>
    <row r="2" spans="1:49" x14ac:dyDescent="0.3">
      <c r="A2" s="30" t="s">
        <v>273</v>
      </c>
      <c r="B2" t="s">
        <v>272</v>
      </c>
      <c r="E2" s="33"/>
      <c r="F2" t="s">
        <v>291</v>
      </c>
      <c r="J2" s="33"/>
      <c r="K2" t="s">
        <v>277</v>
      </c>
      <c r="O2" s="33"/>
      <c r="P2" s="30" t="s">
        <v>273</v>
      </c>
      <c r="Q2" t="s">
        <v>280</v>
      </c>
      <c r="T2" s="33"/>
      <c r="Y2" s="33"/>
      <c r="AD2" s="33"/>
      <c r="AE2" s="30" t="s">
        <v>273</v>
      </c>
      <c r="AJ2" s="36"/>
      <c r="AS2" s="50"/>
      <c r="AT2" s="30" t="s">
        <v>273</v>
      </c>
      <c r="AU2" t="s">
        <v>291</v>
      </c>
    </row>
    <row r="3" spans="1:49" x14ac:dyDescent="0.3">
      <c r="A3" s="31" t="s">
        <v>164</v>
      </c>
      <c r="B3" s="32">
        <v>1023124.90544</v>
      </c>
      <c r="D3" s="35">
        <f>GETPIVOTDATA("سعر البيع ",$A$2,"الحالة","تم التسليم")</f>
        <v>1023124.90544</v>
      </c>
      <c r="E3" s="33"/>
      <c r="F3" s="29">
        <v>125</v>
      </c>
      <c r="H3">
        <f>GETPIVOTDATA("الحالة",$F$2)</f>
        <v>125</v>
      </c>
      <c r="J3" s="33"/>
      <c r="K3" s="29">
        <v>10293.446523519999</v>
      </c>
      <c r="M3" s="35">
        <f>GETPIVOTDATA("سعر البيع ",$K$2)</f>
        <v>10293.446523519999</v>
      </c>
      <c r="O3" s="33"/>
      <c r="P3" s="31" t="s">
        <v>164</v>
      </c>
      <c r="Q3" s="29">
        <v>101</v>
      </c>
      <c r="T3" s="33"/>
      <c r="U3" s="30" t="s">
        <v>273</v>
      </c>
      <c r="V3" t="s">
        <v>280</v>
      </c>
      <c r="Y3" s="33"/>
      <c r="Z3" s="30" t="s">
        <v>273</v>
      </c>
      <c r="AA3" t="s">
        <v>280</v>
      </c>
      <c r="AD3" s="33"/>
      <c r="AE3" s="31" t="s">
        <v>46</v>
      </c>
      <c r="AJ3" s="36"/>
      <c r="AK3" s="30" t="s">
        <v>273</v>
      </c>
      <c r="AL3" t="s">
        <v>285</v>
      </c>
      <c r="AP3" s="30" t="s">
        <v>273</v>
      </c>
      <c r="AQ3" t="s">
        <v>290</v>
      </c>
      <c r="AS3" s="50"/>
      <c r="AT3" s="31" t="s">
        <v>164</v>
      </c>
      <c r="AU3" s="29">
        <v>101</v>
      </c>
    </row>
    <row r="4" spans="1:49" x14ac:dyDescent="0.3">
      <c r="A4" s="31" t="s">
        <v>274</v>
      </c>
      <c r="B4" s="29">
        <v>1023124.90544</v>
      </c>
      <c r="E4" s="33"/>
      <c r="J4" s="33"/>
      <c r="O4" s="33"/>
      <c r="P4" s="34" t="s">
        <v>5</v>
      </c>
      <c r="Q4" s="29">
        <v>60</v>
      </c>
      <c r="T4" s="33"/>
      <c r="U4" s="31" t="s">
        <v>142</v>
      </c>
      <c r="V4" s="29">
        <v>18</v>
      </c>
      <c r="Y4" s="33"/>
      <c r="Z4" s="31" t="s">
        <v>164</v>
      </c>
      <c r="AA4" s="29">
        <v>71</v>
      </c>
      <c r="AD4" s="33"/>
      <c r="AE4" s="31" t="s">
        <v>183</v>
      </c>
      <c r="AJ4" s="36"/>
      <c r="AK4" s="31" t="s">
        <v>164</v>
      </c>
      <c r="AL4" s="29">
        <v>45</v>
      </c>
      <c r="AP4" s="31" t="s">
        <v>288</v>
      </c>
      <c r="AQ4" s="49">
        <v>0.47199999999999998</v>
      </c>
      <c r="AS4" s="50"/>
      <c r="AT4" s="31" t="s">
        <v>246</v>
      </c>
      <c r="AU4" s="29">
        <v>4</v>
      </c>
    </row>
    <row r="5" spans="1:49" x14ac:dyDescent="0.3">
      <c r="E5" s="33"/>
      <c r="J5" s="33"/>
      <c r="O5" s="33"/>
      <c r="P5" s="34" t="s">
        <v>22</v>
      </c>
      <c r="Q5" s="29">
        <v>14</v>
      </c>
      <c r="T5" s="33"/>
      <c r="U5" s="31" t="s">
        <v>139</v>
      </c>
      <c r="V5" s="29">
        <v>1</v>
      </c>
      <c r="Y5" s="33"/>
      <c r="Z5" s="34" t="s">
        <v>129</v>
      </c>
      <c r="AA5" s="29">
        <v>71</v>
      </c>
      <c r="AC5" t="str">
        <f>Z5</f>
        <v>سرير</v>
      </c>
      <c r="AD5" s="33"/>
      <c r="AE5" s="31" t="s">
        <v>157</v>
      </c>
      <c r="AG5">
        <f>COUNTA(_xlfn.UNIQUE(AE3:AE78))</f>
        <v>76</v>
      </c>
      <c r="AJ5" s="36"/>
      <c r="AK5" s="34" t="s">
        <v>256</v>
      </c>
      <c r="AL5" s="29">
        <v>14</v>
      </c>
      <c r="AN5" t="str">
        <f>AK5</f>
        <v xml:space="preserve">٦ اكتوبر  </v>
      </c>
      <c r="AP5" s="31" t="s">
        <v>289</v>
      </c>
      <c r="AQ5" s="49">
        <v>0.312</v>
      </c>
      <c r="AS5" s="50"/>
      <c r="AT5" s="31" t="s">
        <v>162</v>
      </c>
      <c r="AU5" s="29">
        <v>20</v>
      </c>
    </row>
    <row r="6" spans="1:49" x14ac:dyDescent="0.3">
      <c r="E6" s="33"/>
      <c r="J6" s="33"/>
      <c r="O6" s="33"/>
      <c r="P6" s="34" t="s">
        <v>44</v>
      </c>
      <c r="Q6" s="29">
        <v>12</v>
      </c>
      <c r="T6" s="33"/>
      <c r="U6" s="31" t="s">
        <v>177</v>
      </c>
      <c r="V6" s="29">
        <v>1</v>
      </c>
      <c r="Y6" s="33"/>
      <c r="Z6" s="31" t="s">
        <v>274</v>
      </c>
      <c r="AA6" s="29">
        <v>71</v>
      </c>
      <c r="AD6" s="33"/>
      <c r="AE6" s="31" t="s">
        <v>156</v>
      </c>
      <c r="AJ6" s="36"/>
      <c r="AK6" s="34" t="s">
        <v>55</v>
      </c>
      <c r="AL6" s="29">
        <v>10</v>
      </c>
      <c r="AP6" s="31" t="s">
        <v>246</v>
      </c>
      <c r="AQ6" s="48">
        <v>0.216</v>
      </c>
      <c r="AS6" s="50"/>
      <c r="AT6" s="31" t="s">
        <v>274</v>
      </c>
      <c r="AU6" s="29">
        <v>125</v>
      </c>
    </row>
    <row r="7" spans="1:49" x14ac:dyDescent="0.3">
      <c r="E7" s="33"/>
      <c r="J7" s="33"/>
      <c r="O7" s="33"/>
      <c r="P7" s="34" t="s">
        <v>32</v>
      </c>
      <c r="Q7" s="29">
        <v>6</v>
      </c>
      <c r="T7" s="33"/>
      <c r="U7" s="31" t="s">
        <v>129</v>
      </c>
      <c r="V7" s="29">
        <v>87</v>
      </c>
      <c r="Y7" s="33"/>
      <c r="AD7" s="33"/>
      <c r="AE7" s="31" t="s">
        <v>187</v>
      </c>
      <c r="AJ7" s="36"/>
      <c r="AK7" s="34" t="s">
        <v>181</v>
      </c>
      <c r="AL7" s="29">
        <v>9</v>
      </c>
      <c r="AP7" s="31" t="s">
        <v>274</v>
      </c>
      <c r="AQ7" s="48">
        <v>1</v>
      </c>
      <c r="AS7" s="50"/>
    </row>
    <row r="8" spans="1:49" x14ac:dyDescent="0.3">
      <c r="E8" s="33"/>
      <c r="J8" s="33"/>
      <c r="O8" s="33"/>
      <c r="P8" s="34" t="s">
        <v>171</v>
      </c>
      <c r="Q8" s="29">
        <v>4</v>
      </c>
      <c r="T8" s="33"/>
      <c r="U8" s="31" t="s">
        <v>136</v>
      </c>
      <c r="V8" s="29">
        <v>1</v>
      </c>
      <c r="Y8" s="33"/>
      <c r="AD8" s="33"/>
      <c r="AE8" s="31" t="s">
        <v>186</v>
      </c>
      <c r="AJ8" s="36"/>
      <c r="AK8" s="34" t="s">
        <v>240</v>
      </c>
      <c r="AL8" s="29">
        <v>6</v>
      </c>
      <c r="AS8" s="50"/>
    </row>
    <row r="9" spans="1:49" x14ac:dyDescent="0.3">
      <c r="E9" s="33"/>
      <c r="J9" s="33"/>
      <c r="O9" s="33"/>
      <c r="P9" s="34" t="s">
        <v>189</v>
      </c>
      <c r="Q9" s="29">
        <v>2</v>
      </c>
      <c r="T9" s="33"/>
      <c r="U9" s="31" t="s">
        <v>219</v>
      </c>
      <c r="V9" s="29">
        <v>17</v>
      </c>
      <c r="Y9" s="33"/>
      <c r="Z9" s="56"/>
      <c r="AA9" s="56"/>
      <c r="AB9" s="56"/>
      <c r="AC9" s="56"/>
      <c r="AD9" s="33"/>
      <c r="AE9" s="31" t="s">
        <v>28</v>
      </c>
      <c r="AJ9" s="36"/>
      <c r="AK9" s="34" t="s">
        <v>165</v>
      </c>
      <c r="AL9" s="29">
        <v>6</v>
      </c>
      <c r="AS9" s="50"/>
    </row>
    <row r="10" spans="1:49" x14ac:dyDescent="0.3">
      <c r="E10" s="33"/>
      <c r="J10" s="33"/>
      <c r="O10" s="33"/>
      <c r="P10" s="34" t="s">
        <v>26</v>
      </c>
      <c r="Q10" s="29">
        <v>2</v>
      </c>
      <c r="T10" s="33"/>
      <c r="U10" s="31" t="s">
        <v>274</v>
      </c>
      <c r="V10" s="29">
        <v>125</v>
      </c>
      <c r="Y10" s="33"/>
      <c r="AD10" s="33"/>
      <c r="AE10" s="31" t="s">
        <v>24</v>
      </c>
      <c r="AJ10" s="36"/>
      <c r="AK10" s="31" t="s">
        <v>274</v>
      </c>
      <c r="AL10" s="29">
        <v>45</v>
      </c>
      <c r="AS10" s="50"/>
    </row>
    <row r="11" spans="1:49" x14ac:dyDescent="0.3">
      <c r="E11" s="33"/>
      <c r="J11" s="33"/>
      <c r="O11" s="33"/>
      <c r="P11" s="34" t="s">
        <v>208</v>
      </c>
      <c r="Q11" s="29">
        <v>1</v>
      </c>
      <c r="T11" s="33"/>
      <c r="Y11" s="33"/>
      <c r="AD11" s="33"/>
      <c r="AE11" s="31" t="s">
        <v>116</v>
      </c>
      <c r="AJ11" s="36"/>
      <c r="AS11" s="50"/>
      <c r="AV11" t="s">
        <v>164</v>
      </c>
      <c r="AW11">
        <f>GETPIVOTDATA("الحالة",$AT$2,"الحالة","تم التسليم")</f>
        <v>101</v>
      </c>
    </row>
    <row r="12" spans="1:49" x14ac:dyDescent="0.3">
      <c r="A12" s="58" t="s">
        <v>294</v>
      </c>
      <c r="B12" s="58"/>
      <c r="C12" s="58"/>
      <c r="D12" s="58"/>
      <c r="E12" s="33"/>
      <c r="J12" s="33"/>
      <c r="O12" s="33"/>
      <c r="P12" s="31" t="s">
        <v>274</v>
      </c>
      <c r="Q12" s="29">
        <v>101</v>
      </c>
      <c r="T12" s="33"/>
      <c r="Y12" s="33"/>
      <c r="AD12" s="33"/>
      <c r="AE12" s="31" t="s">
        <v>110</v>
      </c>
      <c r="AJ12" s="36"/>
      <c r="AS12" s="50"/>
      <c r="AV12" t="s">
        <v>162</v>
      </c>
      <c r="AW12">
        <f>GETPIVOTDATA("الحالة",$AT$2,"الحالة","فشل التسليم")</f>
        <v>20</v>
      </c>
    </row>
    <row r="13" spans="1:49" x14ac:dyDescent="0.3">
      <c r="A13" s="30" t="s">
        <v>273</v>
      </c>
      <c r="B13" t="s">
        <v>272</v>
      </c>
      <c r="E13" s="33"/>
      <c r="J13" s="33"/>
      <c r="O13" s="33"/>
      <c r="T13" s="33"/>
      <c r="Y13" s="33"/>
      <c r="AD13" s="33"/>
      <c r="AE13" s="31" t="s">
        <v>224</v>
      </c>
      <c r="AJ13" s="36"/>
      <c r="AS13" s="50"/>
    </row>
    <row r="14" spans="1:49" x14ac:dyDescent="0.3">
      <c r="A14" s="31" t="s">
        <v>295</v>
      </c>
      <c r="B14" s="49">
        <v>0.76612932563458103</v>
      </c>
      <c r="E14" s="33"/>
      <c r="F14" s="57" t="s">
        <v>297</v>
      </c>
      <c r="G14" s="57"/>
      <c r="H14" s="57"/>
      <c r="I14" s="57"/>
      <c r="J14" s="33"/>
      <c r="O14" s="33"/>
      <c r="T14" s="33"/>
      <c r="Y14" s="33"/>
      <c r="AD14" s="33"/>
      <c r="AE14" s="31" t="s">
        <v>53</v>
      </c>
      <c r="AS14" s="50"/>
    </row>
    <row r="15" spans="1:49" x14ac:dyDescent="0.3">
      <c r="A15" s="31" t="s">
        <v>296</v>
      </c>
      <c r="B15" s="49">
        <v>0.23387067436541895</v>
      </c>
      <c r="J15" s="33"/>
      <c r="O15" s="33"/>
      <c r="T15" s="33"/>
      <c r="Y15" s="33"/>
      <c r="AD15" s="33"/>
      <c r="AE15" s="31" t="s">
        <v>163</v>
      </c>
      <c r="AS15" s="50"/>
    </row>
    <row r="16" spans="1:49" x14ac:dyDescent="0.3">
      <c r="A16" s="31" t="s">
        <v>274</v>
      </c>
      <c r="B16" s="48">
        <v>1</v>
      </c>
      <c r="F16" s="30" t="s">
        <v>273</v>
      </c>
      <c r="G16" t="s">
        <v>272</v>
      </c>
      <c r="K16" s="57" t="s">
        <v>298</v>
      </c>
      <c r="L16" s="57"/>
      <c r="M16" s="57"/>
      <c r="N16" s="57"/>
      <c r="Y16" s="33"/>
      <c r="Z16" s="56" t="s">
        <v>282</v>
      </c>
      <c r="AA16" s="56"/>
      <c r="AB16" s="56"/>
      <c r="AC16" s="56"/>
      <c r="AD16" s="33"/>
      <c r="AE16" s="31" t="s">
        <v>92</v>
      </c>
      <c r="AS16" s="50"/>
    </row>
    <row r="17" spans="6:45" x14ac:dyDescent="0.3">
      <c r="F17" s="31" t="s">
        <v>164</v>
      </c>
      <c r="G17" s="29">
        <v>1023124.90544</v>
      </c>
      <c r="K17" s="30" t="s">
        <v>273</v>
      </c>
      <c r="L17" t="s">
        <v>272</v>
      </c>
      <c r="AD17" s="33"/>
      <c r="AE17" s="31" t="s">
        <v>80</v>
      </c>
      <c r="AS17" s="50"/>
    </row>
    <row r="18" spans="6:45" x14ac:dyDescent="0.3">
      <c r="F18" s="52">
        <v>45500</v>
      </c>
      <c r="G18" s="32">
        <v>10160</v>
      </c>
      <c r="K18" s="31" t="s">
        <v>305</v>
      </c>
      <c r="L18" s="32">
        <v>31775</v>
      </c>
      <c r="Z18" s="30" t="s">
        <v>273</v>
      </c>
      <c r="AA18" t="s">
        <v>283</v>
      </c>
      <c r="AE18" s="31" t="s">
        <v>169</v>
      </c>
      <c r="AS18" s="50"/>
    </row>
    <row r="19" spans="6:45" x14ac:dyDescent="0.3">
      <c r="F19" s="52">
        <v>45501</v>
      </c>
      <c r="G19" s="32">
        <v>10160</v>
      </c>
      <c r="K19" s="31" t="s">
        <v>306</v>
      </c>
      <c r="L19" s="32">
        <v>89253</v>
      </c>
      <c r="Z19" s="31" t="s">
        <v>164</v>
      </c>
      <c r="AA19" s="29">
        <v>33</v>
      </c>
      <c r="AE19" s="31" t="s">
        <v>68</v>
      </c>
      <c r="AS19" s="50"/>
    </row>
    <row r="20" spans="6:45" x14ac:dyDescent="0.3">
      <c r="F20" s="52">
        <v>45518</v>
      </c>
      <c r="G20" s="32">
        <v>14550</v>
      </c>
      <c r="K20" s="31" t="s">
        <v>307</v>
      </c>
      <c r="L20" s="32">
        <v>664201</v>
      </c>
      <c r="Z20" s="34" t="s">
        <v>144</v>
      </c>
      <c r="AA20" s="29">
        <v>33</v>
      </c>
      <c r="AC20" t="str">
        <f>Z20</f>
        <v>اسود</v>
      </c>
      <c r="AE20" s="31" t="s">
        <v>101</v>
      </c>
      <c r="AS20" s="50"/>
    </row>
    <row r="21" spans="6:45" x14ac:dyDescent="0.3">
      <c r="F21" s="52">
        <v>45521</v>
      </c>
      <c r="G21" s="32">
        <v>12000</v>
      </c>
      <c r="K21" s="31" t="s">
        <v>308</v>
      </c>
      <c r="L21" s="32">
        <v>229472.81544000001</v>
      </c>
      <c r="Z21" s="31" t="s">
        <v>274</v>
      </c>
      <c r="AA21" s="29">
        <v>33</v>
      </c>
      <c r="AE21" s="31" t="s">
        <v>214</v>
      </c>
      <c r="AS21" s="50"/>
    </row>
    <row r="22" spans="6:45" x14ac:dyDescent="0.3">
      <c r="F22" s="52">
        <v>45523</v>
      </c>
      <c r="G22" s="32">
        <v>22000</v>
      </c>
      <c r="K22" s="31" t="s">
        <v>309</v>
      </c>
      <c r="L22" s="32">
        <v>184971</v>
      </c>
      <c r="AE22" s="31" t="s">
        <v>82</v>
      </c>
      <c r="AS22" s="50"/>
    </row>
    <row r="23" spans="6:45" x14ac:dyDescent="0.3">
      <c r="F23" s="52">
        <v>45529</v>
      </c>
      <c r="G23" s="32">
        <v>27870</v>
      </c>
      <c r="K23" s="31" t="s">
        <v>310</v>
      </c>
      <c r="L23" s="32">
        <v>71008</v>
      </c>
      <c r="AE23" s="31" t="s">
        <v>196</v>
      </c>
    </row>
    <row r="24" spans="6:45" x14ac:dyDescent="0.3">
      <c r="F24" s="52">
        <v>45536</v>
      </c>
      <c r="G24" s="32">
        <v>28915</v>
      </c>
      <c r="K24" s="31" t="s">
        <v>267</v>
      </c>
      <c r="L24" s="32">
        <v>16000</v>
      </c>
      <c r="AE24" s="31" t="s">
        <v>32</v>
      </c>
    </row>
    <row r="25" spans="6:45" x14ac:dyDescent="0.3">
      <c r="F25" s="52">
        <v>45538</v>
      </c>
      <c r="G25" s="32">
        <v>12360</v>
      </c>
      <c r="K25" s="31" t="s">
        <v>274</v>
      </c>
      <c r="L25" s="29">
        <v>1286680.81544</v>
      </c>
      <c r="AE25" s="31" t="s">
        <v>30</v>
      </c>
    </row>
    <row r="26" spans="6:45" x14ac:dyDescent="0.3">
      <c r="F26" s="52">
        <v>45539</v>
      </c>
      <c r="G26" s="32">
        <v>9300</v>
      </c>
      <c r="AE26" s="31" t="s">
        <v>228</v>
      </c>
    </row>
    <row r="27" spans="6:45" x14ac:dyDescent="0.3">
      <c r="F27" s="52">
        <v>45541</v>
      </c>
      <c r="G27" s="32">
        <v>31948</v>
      </c>
      <c r="AE27" s="31" t="s">
        <v>89</v>
      </c>
    </row>
    <row r="28" spans="6:45" x14ac:dyDescent="0.3">
      <c r="F28" s="52">
        <v>45544</v>
      </c>
      <c r="G28" s="32">
        <v>10987</v>
      </c>
      <c r="AE28" s="31" t="s">
        <v>99</v>
      </c>
    </row>
    <row r="29" spans="6:45" x14ac:dyDescent="0.3">
      <c r="F29" s="52">
        <v>45547</v>
      </c>
      <c r="G29" s="32">
        <v>47827</v>
      </c>
      <c r="AE29" s="31" t="s">
        <v>57</v>
      </c>
    </row>
    <row r="30" spans="6:45" x14ac:dyDescent="0.3">
      <c r="F30" s="52">
        <v>45548</v>
      </c>
      <c r="G30" s="32">
        <v>131180</v>
      </c>
      <c r="AE30" s="31" t="s">
        <v>122</v>
      </c>
    </row>
    <row r="31" spans="6:45" x14ac:dyDescent="0.3">
      <c r="F31" s="52">
        <v>45549</v>
      </c>
      <c r="G31" s="32">
        <v>157800</v>
      </c>
      <c r="AE31" s="31" t="s">
        <v>203</v>
      </c>
    </row>
    <row r="32" spans="6:45" x14ac:dyDescent="0.3">
      <c r="F32" s="52">
        <v>45550</v>
      </c>
      <c r="G32" s="32">
        <v>43997</v>
      </c>
      <c r="AE32" s="31" t="s">
        <v>235</v>
      </c>
    </row>
    <row r="33" spans="6:31" x14ac:dyDescent="0.3">
      <c r="F33" s="52">
        <v>45551</v>
      </c>
      <c r="G33" s="32">
        <v>7849</v>
      </c>
      <c r="AE33" s="31" t="s">
        <v>10</v>
      </c>
    </row>
    <row r="34" spans="6:31" x14ac:dyDescent="0.3">
      <c r="F34" s="52">
        <v>45556</v>
      </c>
      <c r="G34" s="32">
        <v>5074</v>
      </c>
      <c r="AE34" s="31" t="s">
        <v>120</v>
      </c>
    </row>
    <row r="35" spans="6:31" x14ac:dyDescent="0.3">
      <c r="F35" s="52">
        <v>45558</v>
      </c>
      <c r="G35" s="32">
        <v>6250</v>
      </c>
      <c r="AE35" s="31" t="s">
        <v>108</v>
      </c>
    </row>
    <row r="36" spans="6:31" x14ac:dyDescent="0.3">
      <c r="F36" s="52">
        <v>45561</v>
      </c>
      <c r="G36" s="32">
        <v>23893</v>
      </c>
      <c r="AE36" s="31" t="s">
        <v>115</v>
      </c>
    </row>
    <row r="37" spans="6:31" x14ac:dyDescent="0.3">
      <c r="F37" s="52">
        <v>45564</v>
      </c>
      <c r="G37" s="32">
        <v>11453</v>
      </c>
      <c r="AE37" s="31" t="s">
        <v>59</v>
      </c>
    </row>
    <row r="38" spans="6:31" x14ac:dyDescent="0.3">
      <c r="F38" s="52">
        <v>45566</v>
      </c>
      <c r="G38" s="32">
        <v>33189.905440000002</v>
      </c>
      <c r="AE38" s="31" t="s">
        <v>218</v>
      </c>
    </row>
    <row r="39" spans="6:31" x14ac:dyDescent="0.3">
      <c r="F39" s="52">
        <v>45572</v>
      </c>
      <c r="G39" s="32">
        <v>14550</v>
      </c>
      <c r="AE39" s="31" t="s">
        <v>207</v>
      </c>
    </row>
    <row r="40" spans="6:31" x14ac:dyDescent="0.3">
      <c r="F40" s="52">
        <v>45573</v>
      </c>
      <c r="G40" s="32">
        <v>14550</v>
      </c>
      <c r="AE40" s="31" t="s">
        <v>20</v>
      </c>
    </row>
    <row r="41" spans="6:31" x14ac:dyDescent="0.3">
      <c r="F41" s="52">
        <v>45575</v>
      </c>
      <c r="G41" s="32">
        <v>14550</v>
      </c>
      <c r="AE41" s="31" t="s">
        <v>113</v>
      </c>
    </row>
    <row r="42" spans="6:31" x14ac:dyDescent="0.3">
      <c r="F42" s="52">
        <v>45578</v>
      </c>
      <c r="G42" s="32">
        <v>12899</v>
      </c>
      <c r="AE42" s="31" t="s">
        <v>74</v>
      </c>
    </row>
    <row r="43" spans="6:31" x14ac:dyDescent="0.3">
      <c r="F43" s="52">
        <v>45581</v>
      </c>
      <c r="G43" s="32">
        <v>10499</v>
      </c>
      <c r="AE43" s="31" t="s">
        <v>17</v>
      </c>
    </row>
    <row r="44" spans="6:31" x14ac:dyDescent="0.3">
      <c r="F44" s="52">
        <v>45582</v>
      </c>
      <c r="G44" s="32">
        <v>12899</v>
      </c>
      <c r="AE44" s="31" t="s">
        <v>15</v>
      </c>
    </row>
    <row r="45" spans="6:31" x14ac:dyDescent="0.3">
      <c r="F45" s="52">
        <v>45585</v>
      </c>
      <c r="G45" s="32">
        <v>5135</v>
      </c>
      <c r="AE45" s="31" t="s">
        <v>293</v>
      </c>
    </row>
    <row r="46" spans="6:31" x14ac:dyDescent="0.3">
      <c r="F46" s="52">
        <v>45586</v>
      </c>
      <c r="G46" s="32">
        <v>8943</v>
      </c>
      <c r="AE46" s="31" t="s">
        <v>91</v>
      </c>
    </row>
    <row r="47" spans="6:31" x14ac:dyDescent="0.3">
      <c r="F47" s="52">
        <v>45587</v>
      </c>
      <c r="G47" s="32">
        <v>25555</v>
      </c>
      <c r="AE47" s="31" t="s">
        <v>124</v>
      </c>
    </row>
    <row r="48" spans="6:31" x14ac:dyDescent="0.3">
      <c r="F48" s="52">
        <v>45589</v>
      </c>
      <c r="G48" s="32">
        <v>15516</v>
      </c>
      <c r="AE48" s="31" t="s">
        <v>204</v>
      </c>
    </row>
    <row r="49" spans="6:31" x14ac:dyDescent="0.3">
      <c r="F49" s="52">
        <v>45591</v>
      </c>
      <c r="G49" s="32">
        <v>23298</v>
      </c>
      <c r="AE49" s="31" t="s">
        <v>93</v>
      </c>
    </row>
    <row r="50" spans="6:31" x14ac:dyDescent="0.3">
      <c r="F50" s="52">
        <v>45593</v>
      </c>
      <c r="G50" s="32">
        <v>10400</v>
      </c>
      <c r="AE50" s="31" t="s">
        <v>168</v>
      </c>
    </row>
    <row r="51" spans="6:31" x14ac:dyDescent="0.3">
      <c r="F51" s="52">
        <v>45604</v>
      </c>
      <c r="G51" s="32">
        <v>15872</v>
      </c>
      <c r="AE51" s="31" t="s">
        <v>104</v>
      </c>
    </row>
    <row r="52" spans="6:31" x14ac:dyDescent="0.3">
      <c r="F52" s="52">
        <v>45606</v>
      </c>
      <c r="G52" s="32">
        <v>4520</v>
      </c>
      <c r="AE52" s="31" t="s">
        <v>66</v>
      </c>
    </row>
    <row r="53" spans="6:31" x14ac:dyDescent="0.3">
      <c r="F53" s="52">
        <v>45607</v>
      </c>
      <c r="G53" s="32">
        <v>12099</v>
      </c>
      <c r="AE53" s="31" t="s">
        <v>61</v>
      </c>
    </row>
    <row r="54" spans="6:31" x14ac:dyDescent="0.3">
      <c r="F54" s="52">
        <v>45608</v>
      </c>
      <c r="G54" s="32">
        <v>17161</v>
      </c>
      <c r="AE54" s="31" t="s">
        <v>37</v>
      </c>
    </row>
    <row r="55" spans="6:31" x14ac:dyDescent="0.3">
      <c r="F55" s="52">
        <v>45610</v>
      </c>
      <c r="G55" s="32">
        <v>24589</v>
      </c>
      <c r="AE55" s="31" t="s">
        <v>179</v>
      </c>
    </row>
    <row r="56" spans="6:31" x14ac:dyDescent="0.3">
      <c r="F56" s="52">
        <v>45613</v>
      </c>
      <c r="G56" s="32">
        <v>7396</v>
      </c>
      <c r="AE56" s="31" t="s">
        <v>195</v>
      </c>
    </row>
    <row r="57" spans="6:31" x14ac:dyDescent="0.3">
      <c r="F57" s="52">
        <v>45615</v>
      </c>
      <c r="G57" s="32">
        <v>6000</v>
      </c>
      <c r="AE57" s="31" t="s">
        <v>118</v>
      </c>
    </row>
    <row r="58" spans="6:31" x14ac:dyDescent="0.3">
      <c r="F58" s="52">
        <v>45616</v>
      </c>
      <c r="G58" s="32">
        <v>13439</v>
      </c>
      <c r="AE58" s="31" t="s">
        <v>42</v>
      </c>
    </row>
    <row r="59" spans="6:31" x14ac:dyDescent="0.3">
      <c r="F59" s="52">
        <v>45618</v>
      </c>
      <c r="G59" s="32">
        <v>6000</v>
      </c>
      <c r="AE59" s="31" t="s">
        <v>106</v>
      </c>
    </row>
    <row r="60" spans="6:31" x14ac:dyDescent="0.3">
      <c r="F60" s="52">
        <v>45620</v>
      </c>
      <c r="G60" s="32">
        <v>10885</v>
      </c>
      <c r="AE60" s="31" t="s">
        <v>49</v>
      </c>
    </row>
    <row r="61" spans="6:31" x14ac:dyDescent="0.3">
      <c r="F61" s="52">
        <v>45623</v>
      </c>
      <c r="G61" s="32">
        <v>18698</v>
      </c>
      <c r="AE61" s="31" t="s">
        <v>212</v>
      </c>
    </row>
    <row r="62" spans="6:31" x14ac:dyDescent="0.3">
      <c r="F62" s="52">
        <v>45627</v>
      </c>
      <c r="G62" s="32">
        <v>5217</v>
      </c>
      <c r="AE62" s="31" t="s">
        <v>197</v>
      </c>
    </row>
    <row r="63" spans="6:31" x14ac:dyDescent="0.3">
      <c r="F63" s="52">
        <v>45630</v>
      </c>
      <c r="G63" s="32">
        <v>10249</v>
      </c>
      <c r="AE63" s="31" t="s">
        <v>232</v>
      </c>
    </row>
    <row r="64" spans="6:31" x14ac:dyDescent="0.3">
      <c r="F64" s="52">
        <v>45635</v>
      </c>
      <c r="G64" s="32">
        <v>10445</v>
      </c>
      <c r="AE64" s="31" t="s">
        <v>221</v>
      </c>
    </row>
    <row r="65" spans="6:31" x14ac:dyDescent="0.3">
      <c r="F65" s="52">
        <v>45638</v>
      </c>
      <c r="G65" s="32">
        <v>24298</v>
      </c>
      <c r="AE65" s="31" t="s">
        <v>13</v>
      </c>
    </row>
    <row r="66" spans="6:31" x14ac:dyDescent="0.3">
      <c r="F66" s="52">
        <v>45640</v>
      </c>
      <c r="G66" s="32">
        <v>8700</v>
      </c>
      <c r="AE66" s="31" t="s">
        <v>233</v>
      </c>
    </row>
    <row r="67" spans="6:31" x14ac:dyDescent="0.3">
      <c r="F67" s="31" t="s">
        <v>274</v>
      </c>
      <c r="G67" s="29">
        <v>1023124.90544</v>
      </c>
      <c r="AE67" s="31" t="s">
        <v>95</v>
      </c>
    </row>
    <row r="68" spans="6:31" x14ac:dyDescent="0.3">
      <c r="AE68" s="31" t="s">
        <v>201</v>
      </c>
    </row>
    <row r="69" spans="6:31" x14ac:dyDescent="0.3">
      <c r="AE69" s="31" t="s">
        <v>77</v>
      </c>
    </row>
    <row r="70" spans="6:31" x14ac:dyDescent="0.3">
      <c r="AE70" s="31" t="s">
        <v>102</v>
      </c>
    </row>
    <row r="71" spans="6:31" x14ac:dyDescent="0.3">
      <c r="AE71" s="31" t="s">
        <v>225</v>
      </c>
    </row>
    <row r="72" spans="6:31" x14ac:dyDescent="0.3">
      <c r="AE72" s="31" t="s">
        <v>86</v>
      </c>
    </row>
    <row r="73" spans="6:31" x14ac:dyDescent="0.3">
      <c r="AE73" s="31" t="s">
        <v>234</v>
      </c>
    </row>
    <row r="74" spans="6:31" x14ac:dyDescent="0.3">
      <c r="AE74" s="31" t="s">
        <v>62</v>
      </c>
    </row>
    <row r="75" spans="6:31" x14ac:dyDescent="0.3">
      <c r="AE75" s="31" t="s">
        <v>188</v>
      </c>
    </row>
    <row r="76" spans="6:31" x14ac:dyDescent="0.3">
      <c r="AE76" s="31" t="s">
        <v>230</v>
      </c>
    </row>
    <row r="77" spans="6:31" x14ac:dyDescent="0.3">
      <c r="AE77" s="31" t="s">
        <v>84</v>
      </c>
    </row>
    <row r="78" spans="6:31" x14ac:dyDescent="0.3">
      <c r="AE78" s="31" t="s">
        <v>167</v>
      </c>
    </row>
    <row r="79" spans="6:31" x14ac:dyDescent="0.3">
      <c r="AE79" s="31" t="s">
        <v>127</v>
      </c>
    </row>
    <row r="80" spans="6:31" x14ac:dyDescent="0.3">
      <c r="AE80" s="31" t="s">
        <v>274</v>
      </c>
    </row>
  </sheetData>
  <mergeCells count="14">
    <mergeCell ref="A12:D12"/>
    <mergeCell ref="F14:I14"/>
    <mergeCell ref="Z16:AC16"/>
    <mergeCell ref="Z9:AC9"/>
    <mergeCell ref="AK1:AN1"/>
    <mergeCell ref="K16:N16"/>
    <mergeCell ref="AP1:AR1"/>
    <mergeCell ref="AE1:AI1"/>
    <mergeCell ref="Z1:AC1"/>
    <mergeCell ref="A1:D1"/>
    <mergeCell ref="F1:I1"/>
    <mergeCell ref="K1:N1"/>
    <mergeCell ref="P1:S1"/>
    <mergeCell ref="U1:X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7CE3D-F9FD-4E7B-9A1B-08244397A5A4}">
  <sheetPr codeName="Sheet3"/>
  <dimension ref="A18"/>
  <sheetViews>
    <sheetView showGridLines="0" tabSelected="1" zoomScale="39" zoomScaleNormal="39" workbookViewId="0"/>
  </sheetViews>
  <sheetFormatPr defaultRowHeight="14.4" x14ac:dyDescent="0.3"/>
  <cols>
    <col min="1" max="16384" width="8.88671875" style="28"/>
  </cols>
  <sheetData>
    <row r="18" ht="15" customHeight="1" x14ac:dyDescent="0.3"/>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30" r:id="rId3" name="Button 6">
              <controlPr defaultSize="0" print="0" autoFill="0" autoPict="0" macro="[0]!refreash">
                <anchor moveWithCells="1" sizeWithCells="1">
                  <from>
                    <xdr:col>4</xdr:col>
                    <xdr:colOff>220980</xdr:colOff>
                    <xdr:row>41</xdr:row>
                    <xdr:rowOff>99060</xdr:rowOff>
                  </from>
                  <to>
                    <xdr:col>8</xdr:col>
                    <xdr:colOff>312420</xdr:colOff>
                    <xdr:row>47</xdr:row>
                    <xdr:rowOff>121920</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4BCA2-C655-4406-9F8C-7CE4D33013F9}">
  <sheetPr codeName="Sheet4"/>
  <dimension ref="A18"/>
  <sheetViews>
    <sheetView showGridLines="0" zoomScale="39" zoomScaleNormal="39" workbookViewId="0"/>
  </sheetViews>
  <sheetFormatPr defaultRowHeight="14.4" x14ac:dyDescent="0.3"/>
  <cols>
    <col min="1" max="16384" width="8.88671875" style="28"/>
  </cols>
  <sheetData>
    <row r="18" ht="1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البيانات</vt:lpstr>
      <vt:lpstr>Pivot table</vt:lpstr>
      <vt:lpstr>sales</vt:lpstr>
      <vt:lpstr>Daily Sales Performance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Ammar Gamal</cp:lastModifiedBy>
  <dcterms:created xsi:type="dcterms:W3CDTF">2015-06-05T18:17:20Z</dcterms:created>
  <dcterms:modified xsi:type="dcterms:W3CDTF">2026-01-08T15:12:05Z</dcterms:modified>
</cp:coreProperties>
</file>